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sheetId="1" state="visible" r:id="rId3"/>
    <sheet name="Tiket_الحجوزات" sheetId="2" state="visible" r:id="rId4"/>
    <sheet name="Tiket_كشف_BNI" sheetId="3" state="visible" r:id="rId5"/>
    <sheet name="Tiket_التحويلات" sheetId="4" state="visible" r:id="rId6"/>
    <sheet name="Booking_الحجوزات" sheetId="5" state="visible" r:id="rId7"/>
    <sheet name="Booking_الدفعات" sheetId="6" state="visible" r:id="rId8"/>
    <sheet name="مقارنة_يومية" sheetId="7" state="visible" r:id="rId9"/>
  </sheets>
  <definedNames>
    <definedName function="false" hidden="true" localSheetId="4" name="_xlnm._FilterDatabase" vbProcedure="false">Booking_الحجوزات!$A$4:$M$112</definedName>
    <definedName function="false" hidden="true" localSheetId="1" name="_xlnm._FilterDatabase" vbProcedure="false">Tiket_الحجوزات!$A$4:$P$131</definedName>
    <definedName function="false" hidden="true" localSheetId="2" name="_xlnm._FilterDatabase" vbProcedure="false">Tiket_كشف_BNI!$A$4:$J$31</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<sst xmlns="http://schemas.openxmlformats.org/spreadsheetml/2006/main" count="1478" uniqueCount="610">
  <si>
    <t xml:space="preserve">تقرير Tiket.com وBooking.com — سبتمبر 2026</t>
  </si>
  <si>
    <t xml:space="preserve">الأرقام بالروبية الإندونيسية. لا يشمل التقرير Traveloka. الأرقام الزرقاء مدخلة من التقرير الأول، والباقي صيغ تُحسب من الأوراق التفصيلية.</t>
  </si>
  <si>
    <t xml:space="preserve">1) توزيع الإيراد بين الحسابين (إقامات سبتمبر)</t>
  </si>
  <si>
    <t xml:space="preserve">المنصة</t>
  </si>
  <si>
    <t xml:space="preserve">الحساب القديم (استنتاج)</t>
  </si>
  <si>
    <t xml:space="preserve">الحساب الجديد</t>
  </si>
  <si>
    <t xml:space="preserve">لم ينزل بعد</t>
  </si>
  <si>
    <t xml:space="preserve">الإجمالي</t>
  </si>
  <si>
    <t xml:space="preserve">ملاحظة</t>
  </si>
  <si>
    <t xml:space="preserve">Tiket.com</t>
  </si>
  <si>
    <t xml:space="preserve">الجديد = تحويلات BNI بحسب التقرير. المتبقي: إقامات 30 سبتمبر (5 حجوزات)</t>
  </si>
  <si>
    <t xml:space="preserve">Booking.com</t>
  </si>
  <si>
    <t xml:space="preserve">الجديد = دفعة 1 أكتوبر (متوقع، يلزمه كشف أكتوبر). المتبقي: حجز واحد من 30 سبتمبر</t>
  </si>
  <si>
    <t xml:space="preserve">2) Tiket.com — التفاصيل</t>
  </si>
  <si>
    <t xml:space="preserve">البند</t>
  </si>
  <si>
    <t xml:space="preserve">المبلغ</t>
  </si>
  <si>
    <t xml:space="preserve">عدد</t>
  </si>
  <si>
    <t xml:space="preserve">المصدر / ملاحظة</t>
  </si>
  <si>
    <t xml:space="preserve">إجمالي Tiket في التقرير</t>
  </si>
  <si>
    <t xml:space="preserve">التقرير الأول، صف TIKET.COM (AM58)</t>
  </si>
  <si>
    <t xml:space="preserve">مجموع حجوزات issued في ملف Tiket</t>
  </si>
  <si>
    <t xml:space="preserve">ملف Tiket</t>
  </si>
  <si>
    <t xml:space="preserve">الفرق (الملف − التقرير)</t>
  </si>
  <si>
    <t xml:space="preserve">تقريب أنصاف الروبية</t>
  </si>
  <si>
    <t xml:space="preserve">استرداد (refund) — لا يُحتسب إيرادًا</t>
  </si>
  <si>
    <t xml:space="preserve">ردّ للضيوف؛ مستبعد من التقرير وهذا صحيح</t>
  </si>
  <si>
    <t xml:space="preserve">نزل في الحساب القديم (حسب التقرير)</t>
  </si>
  <si>
    <t xml:space="preserve">تحويلات 2–21 سبتمبر</t>
  </si>
  <si>
    <t xml:space="preserve">نزل في الحساب الجديد — حسب كشف BNI</t>
  </si>
  <si>
    <t xml:space="preserve">تبدأ 22 سبتمبر</t>
  </si>
  <si>
    <t xml:space="preserve">نزل في الحساب الجديد — حسب التقرير</t>
  </si>
  <si>
    <t xml:space="preserve">تحويلات 22–30 سبتمبر</t>
  </si>
  <si>
    <t xml:space="preserve">لم ينزل بعد (إقامات 30 سبتمبر)</t>
  </si>
  <si>
    <t xml:space="preserve">يُتوقع نزوله في أكتوبر</t>
  </si>
  <si>
    <t xml:space="preserve">3) Booking.com — التفاصيل</t>
  </si>
  <si>
    <t xml:space="preserve">إجمالي Booking في التقرير</t>
  </si>
  <si>
    <t xml:space="preserve">التقرير الأول، صف BOOKING.COM (AM60)</t>
  </si>
  <si>
    <t xml:space="preserve">صافي إقامات سبتمبر في ملفات Booking</t>
  </si>
  <si>
    <t xml:space="preserve">دفعات 3 و10 و17 و24 سبتمبر و1 أكتوبر</t>
  </si>
  <si>
    <t xml:space="preserve">الفرق (التقرير − الملفات) = المتبقي بلا دفعة</t>
  </si>
  <si>
    <t xml:space="preserve">حجز واحد من 30 سبتمبر لم يُدفع (التقرير قدّره 719,098)</t>
  </si>
  <si>
    <t xml:space="preserve">نزل في الحساب القديم — إقامات سبتمبر</t>
  </si>
  <si>
    <t xml:space="preserve">دفعات 3–24 سبتمبر (الجزء الخاص بسبتمبر)</t>
  </si>
  <si>
    <t xml:space="preserve">نزل في الحساب القديم — إقامات أغسطس</t>
  </si>
  <si>
    <t xml:space="preserve">ضمن دفعة 3 سبتمبر؛ خارج تقرير سبتمبر</t>
  </si>
  <si>
    <t xml:space="preserve">إجمالي ما نزل في الحساب القديم فعليًا</t>
  </si>
  <si>
    <t xml:space="preserve">يشمل 3 حجوزات ملغاة</t>
  </si>
  <si>
    <t xml:space="preserve">دفعة 1 أكتوبر (الحساب الجديد، متوقع)</t>
  </si>
  <si>
    <t xml:space="preserve">التقرير سجّل 12,963,879؛ الفرق = حجز Fadly Ahmad</t>
  </si>
  <si>
    <t xml:space="preserve">دفعة 1 أكتوبر حسب التقرير</t>
  </si>
  <si>
    <t xml:space="preserve">4) تنبيهات وافتراضات</t>
  </si>
  <si>
    <t xml:space="preserve">• الحساب الجديد = BNI 2109686208 (ALMAGD TRADE)، وكشفه من 10 إلى 30 سبتمبر. كل مبلغ Tiket ورد فيه مؤكد برقم الحجز.</t>
  </si>
  <si>
    <t xml:space="preserve">• الحساب القديم: لا يتوفر كشفه. صُنّف عليه كل مبلغ من التقرير لم يظهر في كشف BNI (استنتاج وليس تأكيدًا).</t>
  </si>
  <si>
    <t xml:space="preserve">• Booking.com لم يحوّل شيئًا إلى كشف BNI في سبتمبر. دفعة 1 أكتوبر يُرجَّح نزولها في الحساب الجديد، ويلزم كشف أكتوبر لتأكيده.</t>
  </si>
  <si>
    <t xml:space="preserve">• لم أجد في كشف BNI مبلغًا أُوقف تحويله ثم حُوّل لاحقًا. دفعة Tiket بتاريخ 28 سبتمبر تغطي إقامات الجمعة إلى الأحد (إيقاع أسبوعي معتاد).</t>
  </si>
  <si>
    <t xml:space="preserve">• التقرير سجّل تحويل Tiket بتاريخ 29 سبتمبر (2,499,543) وهو وصل فعليًا في 30 سبتمبر، وسجّل دفعة Booking بتاريخ 17 سبتمبر في 19 سبتمبر.</t>
  </si>
  <si>
    <t xml:space="preserve">Tiket.com — كل الحجوزات (إقامات سبتمبر 2026)</t>
  </si>
  <si>
    <t xml:space="preserve">المصدر: ملف bookings_202610271002.xlsx من Tiket. عمودا «تاريخ النزول» و«مبلغ البنك» من كشف BNI (الحساب الجديد). الحساب القديم استنتاج بغياب كشفه.</t>
  </si>
  <si>
    <t xml:space="preserve">#</t>
  </si>
  <si>
    <t xml:space="preserve">رقم الحجز (Itinerary)</t>
  </si>
  <si>
    <t xml:space="preserve">اسم الضيف</t>
  </si>
  <si>
    <t xml:space="preserve">وقت الحجز</t>
  </si>
  <si>
    <t xml:space="preserve">الدخول</t>
  </si>
  <si>
    <t xml:space="preserve">الخروج</t>
  </si>
  <si>
    <t xml:space="preserve">الليالي</t>
  </si>
  <si>
    <t xml:space="preserve">نوع الغرفة</t>
  </si>
  <si>
    <t xml:space="preserve">الحالة</t>
  </si>
  <si>
    <t xml:space="preserve">سعر الغرفة</t>
  </si>
  <si>
    <t xml:space="preserve">مبلغ الاسترداد</t>
  </si>
  <si>
    <t xml:space="preserve">نوع الاسترداد</t>
  </si>
  <si>
    <t xml:space="preserve">تاريخ النزول (BNI)</t>
  </si>
  <si>
    <t xml:space="preserve">مبلغ البنك (BNI)</t>
  </si>
  <si>
    <t xml:space="preserve">الحساب</t>
  </si>
  <si>
    <t xml:space="preserve">77455031</t>
  </si>
  <si>
    <t xml:space="preserve">Revina Refikasyah</t>
  </si>
  <si>
    <t xml:space="preserve">Standard Tanpa Balkon - Room Only</t>
  </si>
  <si>
    <t xml:space="preserve">issued</t>
  </si>
  <si>
    <t xml:space="preserve">القديم (استنتاج)</t>
  </si>
  <si>
    <t xml:space="preserve">77730201</t>
  </si>
  <si>
    <t xml:space="preserve">Budiono Resah</t>
  </si>
  <si>
    <t xml:space="preserve">Royal Deluxe with Mini Pool - Room Only</t>
  </si>
  <si>
    <t xml:space="preserve">refund</t>
  </si>
  <si>
    <t xml:space="preserve">eRefund</t>
  </si>
  <si>
    <t xml:space="preserve">مسترجع</t>
  </si>
  <si>
    <t xml:space="preserve">78095630</t>
  </si>
  <si>
    <t xml:space="preserve">Linda Linda</t>
  </si>
  <si>
    <t xml:space="preserve">78100749</t>
  </si>
  <si>
    <t xml:space="preserve">Tito Kurnianto</t>
  </si>
  <si>
    <t xml:space="preserve">Deluxe with Balcony - Room Only</t>
  </si>
  <si>
    <t xml:space="preserve">78110655</t>
  </si>
  <si>
    <t xml:space="preserve">Ardhana Halleza nova</t>
  </si>
  <si>
    <t xml:space="preserve">Standard Dengan Balkon - Room Only</t>
  </si>
  <si>
    <t xml:space="preserve">78120711</t>
  </si>
  <si>
    <t xml:space="preserve">Anna Syahidah</t>
  </si>
  <si>
    <t xml:space="preserve">77275602</t>
  </si>
  <si>
    <t xml:space="preserve">kamin kamin</t>
  </si>
  <si>
    <t xml:space="preserve">77275805</t>
  </si>
  <si>
    <t xml:space="preserve">78004393</t>
  </si>
  <si>
    <t xml:space="preserve">Hasanudin Hasanudin</t>
  </si>
  <si>
    <t xml:space="preserve">78121255</t>
  </si>
  <si>
    <t xml:space="preserve">Meilinda Amelia</t>
  </si>
  <si>
    <t xml:space="preserve">78138963</t>
  </si>
  <si>
    <t xml:space="preserve">Azka Alfariji</t>
  </si>
  <si>
    <t xml:space="preserve">78144863</t>
  </si>
  <si>
    <t xml:space="preserve">Trisaumi Syakira</t>
  </si>
  <si>
    <t xml:space="preserve">77538514</t>
  </si>
  <si>
    <t xml:space="preserve">sarah selviani</t>
  </si>
  <si>
    <t xml:space="preserve">78118871</t>
  </si>
  <si>
    <t xml:space="preserve">Susnika merdiana</t>
  </si>
  <si>
    <t xml:space="preserve">78171271</t>
  </si>
  <si>
    <t xml:space="preserve">Nazwalina Nazeera</t>
  </si>
  <si>
    <t xml:space="preserve">78066836</t>
  </si>
  <si>
    <t xml:space="preserve">Uum Umayah</t>
  </si>
  <si>
    <t xml:space="preserve">78202579</t>
  </si>
  <si>
    <t xml:space="preserve">Haddad Syarif</t>
  </si>
  <si>
    <t xml:space="preserve">78202939</t>
  </si>
  <si>
    <t xml:space="preserve">hanum mahriza</t>
  </si>
  <si>
    <t xml:space="preserve">77710514</t>
  </si>
  <si>
    <t xml:space="preserve">Ari Indraswati</t>
  </si>
  <si>
    <t xml:space="preserve">77927805</t>
  </si>
  <si>
    <t xml:space="preserve">Junyasti duwi pramesti</t>
  </si>
  <si>
    <t xml:space="preserve">77927878</t>
  </si>
  <si>
    <t xml:space="preserve">77931129</t>
  </si>
  <si>
    <t xml:space="preserve">Dede april</t>
  </si>
  <si>
    <t xml:space="preserve">77931406</t>
  </si>
  <si>
    <t xml:space="preserve">77931985</t>
  </si>
  <si>
    <t xml:space="preserve">78131304</t>
  </si>
  <si>
    <t xml:space="preserve">abitah raynor</t>
  </si>
  <si>
    <t xml:space="preserve">78134176</t>
  </si>
  <si>
    <t xml:space="preserve">anggi anggi,  mey mey</t>
  </si>
  <si>
    <t xml:space="preserve">78164590</t>
  </si>
  <si>
    <t xml:space="preserve">zhalma syafitri alkobar</t>
  </si>
  <si>
    <t xml:space="preserve">78181994</t>
  </si>
  <si>
    <t xml:space="preserve">Bayu Rizky Gustiawan</t>
  </si>
  <si>
    <t xml:space="preserve">78231815</t>
  </si>
  <si>
    <t xml:space="preserve">Byan Afrizal Sardika</t>
  </si>
  <si>
    <t xml:space="preserve">Superior With Minipool - Room Only</t>
  </si>
  <si>
    <t xml:space="preserve">78236409</t>
  </si>
  <si>
    <t xml:space="preserve">tasya desy s</t>
  </si>
  <si>
    <t xml:space="preserve">77888210</t>
  </si>
  <si>
    <t xml:space="preserve">Buayu Lestari</t>
  </si>
  <si>
    <t xml:space="preserve">78142469</t>
  </si>
  <si>
    <t xml:space="preserve">hafiz ar</t>
  </si>
  <si>
    <t xml:space="preserve">78146986</t>
  </si>
  <si>
    <t xml:space="preserve">Ayu Lestari</t>
  </si>
  <si>
    <t xml:space="preserve">78241018</t>
  </si>
  <si>
    <t xml:space="preserve">78256308</t>
  </si>
  <si>
    <t xml:space="preserve">DEDI Rianto</t>
  </si>
  <si>
    <t xml:space="preserve">78260402</t>
  </si>
  <si>
    <t xml:space="preserve">Agus budiarto</t>
  </si>
  <si>
    <t xml:space="preserve">78276080</t>
  </si>
  <si>
    <t xml:space="preserve">Antonius Kevin Wibowo</t>
  </si>
  <si>
    <t xml:space="preserve">78277487</t>
  </si>
  <si>
    <t xml:space="preserve">Eva Sartika</t>
  </si>
  <si>
    <t xml:space="preserve">78050559</t>
  </si>
  <si>
    <t xml:space="preserve">Jimmi Pangestu</t>
  </si>
  <si>
    <t xml:space="preserve">78275162</t>
  </si>
  <si>
    <t xml:space="preserve">Icha Anisa</t>
  </si>
  <si>
    <t xml:space="preserve">78280025</t>
  </si>
  <si>
    <t xml:space="preserve">Dwi Rahma Febriana</t>
  </si>
  <si>
    <t xml:space="preserve">78283313</t>
  </si>
  <si>
    <t xml:space="preserve">Fadry Fadry</t>
  </si>
  <si>
    <t xml:space="preserve">78291638</t>
  </si>
  <si>
    <t xml:space="preserve">Andi suhendra</t>
  </si>
  <si>
    <t xml:space="preserve">78296014</t>
  </si>
  <si>
    <t xml:space="preserve">Syalom Saefeto</t>
  </si>
  <si>
    <t xml:space="preserve">78300174</t>
  </si>
  <si>
    <t xml:space="preserve">Tesalonika Juliana</t>
  </si>
  <si>
    <t xml:space="preserve">77165121</t>
  </si>
  <si>
    <t xml:space="preserve">Meri Suhartini</t>
  </si>
  <si>
    <t xml:space="preserve">78309010</t>
  </si>
  <si>
    <t xml:space="preserve">78324060</t>
  </si>
  <si>
    <t xml:space="preserve">Muhammad islam sulaeman</t>
  </si>
  <si>
    <t xml:space="preserve">77971350</t>
  </si>
  <si>
    <t xml:space="preserve">78343391</t>
  </si>
  <si>
    <t xml:space="preserve">Ade Ratnasari</t>
  </si>
  <si>
    <t xml:space="preserve">78088825</t>
  </si>
  <si>
    <t xml:space="preserve">Ruly Rahmawati</t>
  </si>
  <si>
    <t xml:space="preserve">78395342</t>
  </si>
  <si>
    <t xml:space="preserve">Erry firgiawan</t>
  </si>
  <si>
    <t xml:space="preserve">78119338</t>
  </si>
  <si>
    <t xml:space="preserve">Ignalia Putri</t>
  </si>
  <si>
    <t xml:space="preserve">78211930</t>
  </si>
  <si>
    <t xml:space="preserve">Windy Wulandari</t>
  </si>
  <si>
    <t xml:space="preserve">78414540</t>
  </si>
  <si>
    <t xml:space="preserve">Fitri Aprillia Ridwan</t>
  </si>
  <si>
    <t xml:space="preserve">78421031</t>
  </si>
  <si>
    <t xml:space="preserve">Briliyan Sanjaya</t>
  </si>
  <si>
    <t xml:space="preserve">78422631</t>
  </si>
  <si>
    <t xml:space="preserve">ria maryati</t>
  </si>
  <si>
    <t xml:space="preserve">78051380</t>
  </si>
  <si>
    <t xml:space="preserve">evrillia salsabilla</t>
  </si>
  <si>
    <t xml:space="preserve">78297487</t>
  </si>
  <si>
    <t xml:space="preserve">Natu Igas</t>
  </si>
  <si>
    <t xml:space="preserve">78323548</t>
  </si>
  <si>
    <t xml:space="preserve">noviana kurniawati</t>
  </si>
  <si>
    <t xml:space="preserve">78324002</t>
  </si>
  <si>
    <t xml:space="preserve">egisaprudingmailcom egisaprudingmailcom</t>
  </si>
  <si>
    <t xml:space="preserve">78397243</t>
  </si>
  <si>
    <t xml:space="preserve">Rennys Amalia</t>
  </si>
  <si>
    <t xml:space="preserve">78401469</t>
  </si>
  <si>
    <t xml:space="preserve">Syarif Hidayatullah</t>
  </si>
  <si>
    <t xml:space="preserve">78404603</t>
  </si>
  <si>
    <t xml:space="preserve">Humam Nabil</t>
  </si>
  <si>
    <t xml:space="preserve">78415387</t>
  </si>
  <si>
    <t xml:space="preserve">bimo aryo prakoso</t>
  </si>
  <si>
    <t xml:space="preserve">78417282</t>
  </si>
  <si>
    <t xml:space="preserve">78419019</t>
  </si>
  <si>
    <t xml:space="preserve">Imam Luthfi Udin</t>
  </si>
  <si>
    <t xml:space="preserve">77926206</t>
  </si>
  <si>
    <t xml:space="preserve">adhi yoga sepriyanto</t>
  </si>
  <si>
    <t xml:space="preserve">78021599</t>
  </si>
  <si>
    <t xml:space="preserve">Putrilaras Satti</t>
  </si>
  <si>
    <t xml:space="preserve">78365593</t>
  </si>
  <si>
    <t xml:space="preserve">Syifa Nuraini</t>
  </si>
  <si>
    <t xml:space="preserve">78445311</t>
  </si>
  <si>
    <t xml:space="preserve">Malla azhari</t>
  </si>
  <si>
    <t xml:space="preserve">78464790</t>
  </si>
  <si>
    <t xml:space="preserve">Aulia Nabilah</t>
  </si>
  <si>
    <t xml:space="preserve">78483112</t>
  </si>
  <si>
    <t xml:space="preserve">MUHAMMAD RIZKY</t>
  </si>
  <si>
    <t xml:space="preserve">78484029</t>
  </si>
  <si>
    <t xml:space="preserve">Iqbal Satrio</t>
  </si>
  <si>
    <t xml:space="preserve">78376198</t>
  </si>
  <si>
    <t xml:space="preserve">lolitasarigmailcom lolitasarigmailcom</t>
  </si>
  <si>
    <t xml:space="preserve">78461916</t>
  </si>
  <si>
    <t xml:space="preserve">ayu Wandini</t>
  </si>
  <si>
    <t xml:space="preserve">78481547</t>
  </si>
  <si>
    <t xml:space="preserve">Cynthia Lisapaly</t>
  </si>
  <si>
    <t xml:space="preserve">78486660</t>
  </si>
  <si>
    <t xml:space="preserve">Wynda Roselina Ketaren</t>
  </si>
  <si>
    <t xml:space="preserve">78429274</t>
  </si>
  <si>
    <t xml:space="preserve">78490259</t>
  </si>
  <si>
    <t xml:space="preserve">Wibowo Ari</t>
  </si>
  <si>
    <t xml:space="preserve">78367450</t>
  </si>
  <si>
    <t xml:space="preserve">Reyhan Indarwan</t>
  </si>
  <si>
    <t xml:space="preserve">78407226</t>
  </si>
  <si>
    <t xml:space="preserve">78470374</t>
  </si>
  <si>
    <t xml:space="preserve">tatimah tatimah</t>
  </si>
  <si>
    <t xml:space="preserve">78185917</t>
  </si>
  <si>
    <t xml:space="preserve">Hermawan Fadly</t>
  </si>
  <si>
    <t xml:space="preserve">78462443</t>
  </si>
  <si>
    <t xml:space="preserve">Rani Ramdayani</t>
  </si>
  <si>
    <t xml:space="preserve">78476535</t>
  </si>
  <si>
    <t xml:space="preserve">Novandio Indratama</t>
  </si>
  <si>
    <t xml:space="preserve">77957132</t>
  </si>
  <si>
    <t xml:space="preserve">Alfan gufron</t>
  </si>
  <si>
    <t xml:space="preserve">78482402</t>
  </si>
  <si>
    <t xml:space="preserve">Rizky Kurniawan</t>
  </si>
  <si>
    <t xml:space="preserve">78483799</t>
  </si>
  <si>
    <t xml:space="preserve">78424771</t>
  </si>
  <si>
    <t xml:space="preserve">الجديد (BNI)</t>
  </si>
  <si>
    <t xml:space="preserve">78471767</t>
  </si>
  <si>
    <t xml:space="preserve">Riska Amelia</t>
  </si>
  <si>
    <t xml:space="preserve">78753800</t>
  </si>
  <si>
    <t xml:space="preserve">NURLATIEF NURLATIEF</t>
  </si>
  <si>
    <t xml:space="preserve">78775986</t>
  </si>
  <si>
    <t xml:space="preserve">Nur khalifatun nisa</t>
  </si>
  <si>
    <t xml:space="preserve">78102296</t>
  </si>
  <si>
    <t xml:space="preserve">Trie Kartika</t>
  </si>
  <si>
    <t xml:space="preserve">78810314</t>
  </si>
  <si>
    <t xml:space="preserve">Ulfy Fadhilatunnisa</t>
  </si>
  <si>
    <t xml:space="preserve">78813837</t>
  </si>
  <si>
    <t xml:space="preserve">Sidiq Sholihin</t>
  </si>
  <si>
    <t xml:space="preserve">78830040</t>
  </si>
  <si>
    <t xml:space="preserve">Alisa Azzahra Ramadini</t>
  </si>
  <si>
    <t xml:space="preserve">78838461</t>
  </si>
  <si>
    <t xml:space="preserve">KIKI HANDAYANI</t>
  </si>
  <si>
    <t xml:space="preserve">77730248</t>
  </si>
  <si>
    <t xml:space="preserve">78475982</t>
  </si>
  <si>
    <t xml:space="preserve">Mila Rosa Amelia</t>
  </si>
  <si>
    <t xml:space="preserve">78780664</t>
  </si>
  <si>
    <t xml:space="preserve">Yondra Fadillah</t>
  </si>
  <si>
    <t xml:space="preserve">78799117</t>
  </si>
  <si>
    <t xml:space="preserve">Nur Syabrina Lainun</t>
  </si>
  <si>
    <t xml:space="preserve">78799537</t>
  </si>
  <si>
    <t xml:space="preserve">Siti indriyani</t>
  </si>
  <si>
    <t xml:space="preserve">78839908</t>
  </si>
  <si>
    <t xml:space="preserve">Fani Alviani</t>
  </si>
  <si>
    <t xml:space="preserve">78849121</t>
  </si>
  <si>
    <t xml:space="preserve">Mhd Bondan</t>
  </si>
  <si>
    <t xml:space="preserve">78856206</t>
  </si>
  <si>
    <t xml:space="preserve">Alifia Nabilah</t>
  </si>
  <si>
    <t xml:space="preserve">78857603</t>
  </si>
  <si>
    <t xml:space="preserve">Aldi muhamad</t>
  </si>
  <si>
    <t xml:space="preserve">78859808</t>
  </si>
  <si>
    <t xml:space="preserve">Lazuardi Abdillah</t>
  </si>
  <si>
    <t xml:space="preserve">78860444</t>
  </si>
  <si>
    <t xml:space="preserve">Nurmala Sari</t>
  </si>
  <si>
    <t xml:space="preserve">78037589</t>
  </si>
  <si>
    <t xml:space="preserve">Sandy Ramadhan</t>
  </si>
  <si>
    <t xml:space="preserve">78401643</t>
  </si>
  <si>
    <t xml:space="preserve">niken novibrian</t>
  </si>
  <si>
    <t xml:space="preserve">78859145</t>
  </si>
  <si>
    <t xml:space="preserve">Rizka Tiarashanty</t>
  </si>
  <si>
    <t xml:space="preserve">78874119</t>
  </si>
  <si>
    <t xml:space="preserve">Rizki Razab</t>
  </si>
  <si>
    <t xml:space="preserve">Special Refund</t>
  </si>
  <si>
    <t xml:space="preserve">78895837</t>
  </si>
  <si>
    <t xml:space="preserve">Sis Kuswoyo</t>
  </si>
  <si>
    <t xml:space="preserve">78909322</t>
  </si>
  <si>
    <t xml:space="preserve">lisdayanti lisdayanti</t>
  </si>
  <si>
    <t xml:space="preserve">78909366</t>
  </si>
  <si>
    <t xml:space="preserve">Khaila Khamila Zaman</t>
  </si>
  <si>
    <t xml:space="preserve">78911978</t>
  </si>
  <si>
    <t xml:space="preserve">Hendrian Kusuma</t>
  </si>
  <si>
    <t xml:space="preserve">78922547</t>
  </si>
  <si>
    <t xml:space="preserve">Ahmad Supandi</t>
  </si>
  <si>
    <t xml:space="preserve">78937511</t>
  </si>
  <si>
    <t xml:space="preserve">Dwi Nurhuda</t>
  </si>
  <si>
    <t xml:space="preserve">78937810</t>
  </si>
  <si>
    <t xml:space="preserve">Gracecia Pauletta Pasomba</t>
  </si>
  <si>
    <t xml:space="preserve">78946752</t>
  </si>
  <si>
    <t xml:space="preserve">Clarita Nur Ariestianty</t>
  </si>
  <si>
    <t xml:space="preserve">78932755</t>
  </si>
  <si>
    <t xml:space="preserve">i komang joni arta</t>
  </si>
  <si>
    <t xml:space="preserve">78965847</t>
  </si>
  <si>
    <t xml:space="preserve">Dani andriano</t>
  </si>
  <si>
    <t xml:space="preserve">78980923</t>
  </si>
  <si>
    <t xml:space="preserve">muhamad ferdila</t>
  </si>
  <si>
    <t xml:space="preserve">78981219</t>
  </si>
  <si>
    <t xml:space="preserve">Dian hafidin</t>
  </si>
  <si>
    <t xml:space="preserve">78999101</t>
  </si>
  <si>
    <t xml:space="preserve">Tubagus Muhammad hakim</t>
  </si>
  <si>
    <t xml:space="preserve">79009635</t>
  </si>
  <si>
    <t xml:space="preserve">muhammad abdul ajis</t>
  </si>
  <si>
    <t xml:space="preserve">Tiket.com — التحويلات التي نزلت في الحساب الجديد (BNI 2109686208)</t>
  </si>
  <si>
    <t xml:space="preserve">المصدر: كشف BNI من 10 إلى 30 سبتمبر 2026. كل تحويل Flip يحمل رقم حجز Tiket. فرق 0.5 روبية = تقريب.</t>
  </si>
  <si>
    <t xml:space="preserve">رقم القيد في الكشف</t>
  </si>
  <si>
    <t xml:space="preserve">تاريخ النزول</t>
  </si>
  <si>
    <t xml:space="preserve">الوقت</t>
  </si>
  <si>
    <t xml:space="preserve">المبلغ (البنك)</t>
  </si>
  <si>
    <t xml:space="preserve">رقم الحجز</t>
  </si>
  <si>
    <t xml:space="preserve">تاريخ الدخول</t>
  </si>
  <si>
    <t xml:space="preserve">سعر Tiket</t>
  </si>
  <si>
    <t xml:space="preserve">الفرق</t>
  </si>
  <si>
    <t xml:space="preserve">يقابل تحويل التقرير بتاريخ</t>
  </si>
  <si>
    <t xml:space="preserve">18:10:26</t>
  </si>
  <si>
    <t xml:space="preserve">17:05:23</t>
  </si>
  <si>
    <t xml:space="preserve">17:12:08</t>
  </si>
  <si>
    <t xml:space="preserve">18:05:51</t>
  </si>
  <si>
    <t xml:space="preserve">18:05:52</t>
  </si>
  <si>
    <t xml:space="preserve">18:06:16</t>
  </si>
  <si>
    <t xml:space="preserve">15:54:13</t>
  </si>
  <si>
    <t xml:space="preserve">15:54:42</t>
  </si>
  <si>
    <t xml:space="preserve">15:54:55</t>
  </si>
  <si>
    <t xml:space="preserve">15:54:59</t>
  </si>
  <si>
    <t xml:space="preserve">18:33:18</t>
  </si>
  <si>
    <t xml:space="preserve">Tiket.com — التحويلات المسجّلة في التقرير الأول (20 تحويلًا)</t>
  </si>
  <si>
    <t xml:space="preserve">الأرقام الزرقاء مدخلة من التقرير (LAPORAN_NJD_SEPT_2026). «مبلغ البنك» يُحسب من كشف BNI للتحويلات التي دخلت الحساب الجديد.</t>
  </si>
  <si>
    <t xml:space="preserve">تاريخ التحويل في التقرير</t>
  </si>
  <si>
    <t xml:space="preserve">المبلغ في التقرير</t>
  </si>
  <si>
    <t xml:space="preserve">ملاحظة التقرير</t>
  </si>
  <si>
    <t xml:space="preserve">تاريخ النزول في البنك</t>
  </si>
  <si>
    <t xml:space="preserve">الفرق (البنك − التقرير)</t>
  </si>
  <si>
    <t xml:space="preserve">AISYAH</t>
  </si>
  <si>
    <t xml:space="preserve">—</t>
  </si>
  <si>
    <t xml:space="preserve">ملاحظة: تحويل التقرير بتاريخ 29 سبتمبر (2,499,543) وصل فعليًا في البنك يوم 30 سبتمبر. الحساب القديم: لا يتوفر كشفه، فالتصنيف استنتاج (الدفعات قبل 22 سبتمبر غير موجودة في كشف BNI).</t>
  </si>
  <si>
    <t xml:space="preserve">Booking.com — كل الحجوزات المدفوعة في الدفعات الخمس (3 و10 و17 و24 سبتمبر و1 أكتوبر)</t>
  </si>
  <si>
    <t xml:space="preserve">المصدر: ملفات الدفعات (CSV) من Booking.com. ملف دفعة 24 سبتمبر وصل مرتين بمحتوى مطابق وأُدخل مرة واحدة.</t>
  </si>
  <si>
    <t xml:space="preserve">تاريخ الدفعة</t>
  </si>
  <si>
    <t xml:space="preserve">رقم الدفعة</t>
  </si>
  <si>
    <t xml:space="preserve">المبلغ (إجمالي)</t>
  </si>
  <si>
    <t xml:space="preserve">العمولة</t>
  </si>
  <si>
    <t xml:space="preserve">ضريبة VAT</t>
  </si>
  <si>
    <t xml:space="preserve">رسوم الدفع</t>
  </si>
  <si>
    <t xml:space="preserve">الصافي</t>
  </si>
  <si>
    <t xml:space="preserve">Ssach3Ls8CQuvlhD</t>
  </si>
  <si>
    <t xml:space="preserve">6385248831</t>
  </si>
  <si>
    <t xml:space="preserve">Eko Wicaksono</t>
  </si>
  <si>
    <t xml:space="preserve">ok</t>
  </si>
  <si>
    <t xml:space="preserve">6242738354</t>
  </si>
  <si>
    <t xml:space="preserve">Muhammad Yoga armantia</t>
  </si>
  <si>
    <t xml:space="preserve">5910274131</t>
  </si>
  <si>
    <t xml:space="preserve">khai aryana</t>
  </si>
  <si>
    <t xml:space="preserve">5775761592</t>
  </si>
  <si>
    <t xml:space="preserve">Alif Nuur Faiiz</t>
  </si>
  <si>
    <t xml:space="preserve">5635915886</t>
  </si>
  <si>
    <t xml:space="preserve">Dinana Hanifah</t>
  </si>
  <si>
    <t xml:space="preserve">6289059401</t>
  </si>
  <si>
    <t xml:space="preserve">Adi Prinando</t>
  </si>
  <si>
    <t xml:space="preserve">6604787607</t>
  </si>
  <si>
    <t xml:space="preserve">Lutfi aldiar Ahmad</t>
  </si>
  <si>
    <t xml:space="preserve">6465283637</t>
  </si>
  <si>
    <t xml:space="preserve">Fajri Heryadi</t>
  </si>
  <si>
    <t xml:space="preserve">cancelled</t>
  </si>
  <si>
    <t xml:space="preserve">5966438707</t>
  </si>
  <si>
    <t xml:space="preserve">Sigit Agustian</t>
  </si>
  <si>
    <t xml:space="preserve">5580011533</t>
  </si>
  <si>
    <t xml:space="preserve">Dicky Rahmani Sutandi</t>
  </si>
  <si>
    <t xml:space="preserve">5454361207</t>
  </si>
  <si>
    <t xml:space="preserve">imam imam</t>
  </si>
  <si>
    <t xml:space="preserve">5454347947</t>
  </si>
  <si>
    <t xml:space="preserve">Eko Prastowo</t>
  </si>
  <si>
    <t xml:space="preserve">5276992097</t>
  </si>
  <si>
    <t xml:space="preserve">kamal mustofa</t>
  </si>
  <si>
    <t xml:space="preserve">6661951470</t>
  </si>
  <si>
    <t xml:space="preserve">Bunga Ajeng Pertiwi</t>
  </si>
  <si>
    <t xml:space="preserve">6197726129</t>
  </si>
  <si>
    <t xml:space="preserve">Fenny Hellina</t>
  </si>
  <si>
    <t xml:space="preserve">6094731864</t>
  </si>
  <si>
    <t xml:space="preserve">Wildan Eky</t>
  </si>
  <si>
    <t xml:space="preserve">5484192029</t>
  </si>
  <si>
    <t xml:space="preserve">Acep Supardi</t>
  </si>
  <si>
    <t xml:space="preserve">5216160930</t>
  </si>
  <si>
    <t xml:space="preserve">Diva Putri</t>
  </si>
  <si>
    <t xml:space="preserve">5402502986</t>
  </si>
  <si>
    <t xml:space="preserve">Muhammad Rizki</t>
  </si>
  <si>
    <t xml:space="preserve">5326019500</t>
  </si>
  <si>
    <t xml:space="preserve">Okky Maniko</t>
  </si>
  <si>
    <t xml:space="preserve">6139558648</t>
  </si>
  <si>
    <t xml:space="preserve">Muhamad Rafli Alfareza</t>
  </si>
  <si>
    <t xml:space="preserve">5699358297</t>
  </si>
  <si>
    <t xml:space="preserve">Imam Nispu</t>
  </si>
  <si>
    <t xml:space="preserve">5635931940</t>
  </si>
  <si>
    <t xml:space="preserve">Jody Hilmansah</t>
  </si>
  <si>
    <t xml:space="preserve">6874757374</t>
  </si>
  <si>
    <t xml:space="preserve">Nahariyani Mega putri</t>
  </si>
  <si>
    <t xml:space="preserve">5813588752</t>
  </si>
  <si>
    <t xml:space="preserve">Basiron bin Ali</t>
  </si>
  <si>
    <t xml:space="preserve">5467313071</t>
  </si>
  <si>
    <t xml:space="preserve">Norman Dhito</t>
  </si>
  <si>
    <t xml:space="preserve">5200753272</t>
  </si>
  <si>
    <t xml:space="preserve">Srikandi Larasati</t>
  </si>
  <si>
    <t xml:space="preserve">omlZDkQXSlxc96AA</t>
  </si>
  <si>
    <t xml:space="preserve">6878676546</t>
  </si>
  <si>
    <t xml:space="preserve">Indri yadi</t>
  </si>
  <si>
    <t xml:space="preserve">6031636866</t>
  </si>
  <si>
    <t xml:space="preserve">Ali Hasan</t>
  </si>
  <si>
    <t xml:space="preserve">5786685099</t>
  </si>
  <si>
    <t xml:space="preserve">Irsan Nopeana</t>
  </si>
  <si>
    <t xml:space="preserve">6955893347</t>
  </si>
  <si>
    <t xml:space="preserve">Agnis Nur Kartika Sari</t>
  </si>
  <si>
    <t xml:space="preserve">6233879743</t>
  </si>
  <si>
    <t xml:space="preserve">Irfan Fadhilah</t>
  </si>
  <si>
    <t xml:space="preserve">6190398110</t>
  </si>
  <si>
    <t xml:space="preserve">Mumu Indrapraja</t>
  </si>
  <si>
    <t xml:space="preserve">5914798036</t>
  </si>
  <si>
    <t xml:space="preserve">5755842904</t>
  </si>
  <si>
    <t xml:space="preserve">Muhamad Ridwan</t>
  </si>
  <si>
    <t xml:space="preserve">6342368592</t>
  </si>
  <si>
    <t xml:space="preserve">Sceni Yulianto</t>
  </si>
  <si>
    <t xml:space="preserve">5798354056</t>
  </si>
  <si>
    <t xml:space="preserve">suci Wulandari</t>
  </si>
  <si>
    <t xml:space="preserve">5677324712</t>
  </si>
  <si>
    <t xml:space="preserve">Resha Nuraeni</t>
  </si>
  <si>
    <t xml:space="preserve">6876042766</t>
  </si>
  <si>
    <t xml:space="preserve">Putri Andini</t>
  </si>
  <si>
    <t xml:space="preserve">6636512796</t>
  </si>
  <si>
    <t xml:space="preserve">maulana miko</t>
  </si>
  <si>
    <t xml:space="preserve">6542572683</t>
  </si>
  <si>
    <t xml:space="preserve">Khoirul Anam</t>
  </si>
  <si>
    <t xml:space="preserve">6298883958</t>
  </si>
  <si>
    <t xml:space="preserve">Erine Dwiyanti</t>
  </si>
  <si>
    <t xml:space="preserve">5874139279</t>
  </si>
  <si>
    <t xml:space="preserve">Muhammad Satrio</t>
  </si>
  <si>
    <t xml:space="preserve">5138645056</t>
  </si>
  <si>
    <t xml:space="preserve">Ani Sulistya</t>
  </si>
  <si>
    <t xml:space="preserve">6469125016</t>
  </si>
  <si>
    <t xml:space="preserve">Muhammad shafwan Alghifari</t>
  </si>
  <si>
    <t xml:space="preserve">6276086137</t>
  </si>
  <si>
    <t xml:space="preserve">Boedie Kainuna</t>
  </si>
  <si>
    <t xml:space="preserve">5138685243</t>
  </si>
  <si>
    <t xml:space="preserve">M hapsiansar</t>
  </si>
  <si>
    <t xml:space="preserve">5376272036</t>
  </si>
  <si>
    <t xml:space="preserve">Hannah Riya</t>
  </si>
  <si>
    <t xml:space="preserve">j9I5FOcn6gEMdoFH</t>
  </si>
  <si>
    <t xml:space="preserve">6958837231</t>
  </si>
  <si>
    <t xml:space="preserve">Dea Vidi</t>
  </si>
  <si>
    <t xml:space="preserve">5576269872</t>
  </si>
  <si>
    <t xml:space="preserve">capt boi</t>
  </si>
  <si>
    <t xml:space="preserve">6530799199</t>
  </si>
  <si>
    <t xml:space="preserve">Alivia Salsabila</t>
  </si>
  <si>
    <t xml:space="preserve">5123106468</t>
  </si>
  <si>
    <t xml:space="preserve">AULLYA ARIFIN</t>
  </si>
  <si>
    <t xml:space="preserve">6645159270</t>
  </si>
  <si>
    <t xml:space="preserve">pratama Tama</t>
  </si>
  <si>
    <t xml:space="preserve">5692854597</t>
  </si>
  <si>
    <t xml:space="preserve">Wahyu Adam</t>
  </si>
  <si>
    <t xml:space="preserve">5525657176</t>
  </si>
  <si>
    <t xml:space="preserve">Ari Gumelar</t>
  </si>
  <si>
    <t xml:space="preserve">5275940302</t>
  </si>
  <si>
    <t xml:space="preserve">Muhamad Fajri</t>
  </si>
  <si>
    <t xml:space="preserve">6744964254</t>
  </si>
  <si>
    <t xml:space="preserve">GM KIDS</t>
  </si>
  <si>
    <t xml:space="preserve">6550831870</t>
  </si>
  <si>
    <t xml:space="preserve">Salma Safitrii</t>
  </si>
  <si>
    <t xml:space="preserve">6515462846</t>
  </si>
  <si>
    <t xml:space="preserve">Arunk Samudra</t>
  </si>
  <si>
    <t xml:space="preserve">6318656850</t>
  </si>
  <si>
    <t xml:space="preserve">Abdullah Uckun</t>
  </si>
  <si>
    <t xml:space="preserve">5580800122</t>
  </si>
  <si>
    <t xml:space="preserve">Fionna Adelia</t>
  </si>
  <si>
    <t xml:space="preserve">5315528847</t>
  </si>
  <si>
    <t xml:space="preserve">Angreyni Bukasiang</t>
  </si>
  <si>
    <t xml:space="preserve">6847609688</t>
  </si>
  <si>
    <t xml:space="preserve">Abdul Azis</t>
  </si>
  <si>
    <t xml:space="preserve">6645171329</t>
  </si>
  <si>
    <t xml:space="preserve">Heru Heru</t>
  </si>
  <si>
    <t xml:space="preserve">6645132493</t>
  </si>
  <si>
    <t xml:space="preserve">Octa Via</t>
  </si>
  <si>
    <t xml:space="preserve">5816398030</t>
  </si>
  <si>
    <t xml:space="preserve">Haikal Zamzami</t>
  </si>
  <si>
    <t xml:space="preserve">5732880478</t>
  </si>
  <si>
    <t xml:space="preserve">Teddy Hidayat</t>
  </si>
  <si>
    <t xml:space="preserve">6730213300</t>
  </si>
  <si>
    <t xml:space="preserve">Elam Saleh</t>
  </si>
  <si>
    <t xml:space="preserve">6966059129</t>
  </si>
  <si>
    <t xml:space="preserve">Aprilia Husna</t>
  </si>
  <si>
    <t xml:space="preserve">6451026353</t>
  </si>
  <si>
    <t xml:space="preserve">Angga Angga</t>
  </si>
  <si>
    <t xml:space="preserve">5914711186</t>
  </si>
  <si>
    <t xml:space="preserve">Rizky Syaputra</t>
  </si>
  <si>
    <t xml:space="preserve">uz3scUOFbIOmznkh</t>
  </si>
  <si>
    <t xml:space="preserve">6602396700</t>
  </si>
  <si>
    <t xml:space="preserve">Rizka Rahayu Utami</t>
  </si>
  <si>
    <t xml:space="preserve">5888779425</t>
  </si>
  <si>
    <t xml:space="preserve">ading ramadhan</t>
  </si>
  <si>
    <t xml:space="preserve">6697981213</t>
  </si>
  <si>
    <t xml:space="preserve">Ahmad Saifurrohman</t>
  </si>
  <si>
    <t xml:space="preserve">6138203633</t>
  </si>
  <si>
    <t xml:space="preserve">Air Waseso</t>
  </si>
  <si>
    <t xml:space="preserve">5481168011</t>
  </si>
  <si>
    <t xml:space="preserve">6608128362</t>
  </si>
  <si>
    <t xml:space="preserve">mira ra</t>
  </si>
  <si>
    <t xml:space="preserve">6604565711</t>
  </si>
  <si>
    <t xml:space="preserve">Torianzyah Putra Bimandiri</t>
  </si>
  <si>
    <t xml:space="preserve">6224929083</t>
  </si>
  <si>
    <t xml:space="preserve">Dwi Tari</t>
  </si>
  <si>
    <t xml:space="preserve">5904182626</t>
  </si>
  <si>
    <t xml:space="preserve">Abdul Hafiz</t>
  </si>
  <si>
    <t xml:space="preserve">5838302268</t>
  </si>
  <si>
    <t xml:space="preserve">satria muhammad abul khoir</t>
  </si>
  <si>
    <t xml:space="preserve">5712057451</t>
  </si>
  <si>
    <t xml:space="preserve">Diaz Setiawan Putra</t>
  </si>
  <si>
    <t xml:space="preserve">5686427642</t>
  </si>
  <si>
    <t xml:space="preserve">Risky Utama</t>
  </si>
  <si>
    <t xml:space="preserve">6747431998</t>
  </si>
  <si>
    <t xml:space="preserve">Elisa Anjani</t>
  </si>
  <si>
    <t xml:space="preserve">5126009400</t>
  </si>
  <si>
    <t xml:space="preserve">q1dt4llKDuWcurng</t>
  </si>
  <si>
    <t xml:space="preserve">5868531594</t>
  </si>
  <si>
    <t xml:space="preserve">Fadly Ahmad</t>
  </si>
  <si>
    <t xml:space="preserve">الجديد (متوقع)</t>
  </si>
  <si>
    <t xml:space="preserve">5462926653</t>
  </si>
  <si>
    <t xml:space="preserve">Tanzela Kreo</t>
  </si>
  <si>
    <t xml:space="preserve">6873062177</t>
  </si>
  <si>
    <t xml:space="preserve">Muhamad Wahyuki Wijaya</t>
  </si>
  <si>
    <t xml:space="preserve">6267284310</t>
  </si>
  <si>
    <t xml:space="preserve">Nabila Bila</t>
  </si>
  <si>
    <t xml:space="preserve">5910501936</t>
  </si>
  <si>
    <t xml:space="preserve">Rahmah Ainunnisa</t>
  </si>
  <si>
    <t xml:space="preserve">6575466223</t>
  </si>
  <si>
    <t xml:space="preserve">Siti nur Anjani</t>
  </si>
  <si>
    <t xml:space="preserve">5478267392</t>
  </si>
  <si>
    <t xml:space="preserve">Taksaka Ramadhan sakti</t>
  </si>
  <si>
    <t xml:space="preserve">5437202575</t>
  </si>
  <si>
    <t xml:space="preserve">Nizar Sudirman</t>
  </si>
  <si>
    <t xml:space="preserve">6601912194</t>
  </si>
  <si>
    <t xml:space="preserve">Reza perkasa Riyatno</t>
  </si>
  <si>
    <t xml:space="preserve">6566487232</t>
  </si>
  <si>
    <t xml:space="preserve">Ribka Wahyuni</t>
  </si>
  <si>
    <t xml:space="preserve">5939732254</t>
  </si>
  <si>
    <t xml:space="preserve">Dicky Ferdian</t>
  </si>
  <si>
    <t xml:space="preserve">5933435821</t>
  </si>
  <si>
    <t xml:space="preserve">Desita Feby</t>
  </si>
  <si>
    <t xml:space="preserve">5897677108</t>
  </si>
  <si>
    <t xml:space="preserve">Rafdi Akbar</t>
  </si>
  <si>
    <t xml:space="preserve">5462959674</t>
  </si>
  <si>
    <t xml:space="preserve">Galih Jul</t>
  </si>
  <si>
    <t xml:space="preserve">5396102232</t>
  </si>
  <si>
    <t xml:space="preserve">Wilma Balqis</t>
  </si>
  <si>
    <t xml:space="preserve">5252676060</t>
  </si>
  <si>
    <t xml:space="preserve">ridho rifaldi</t>
  </si>
  <si>
    <t xml:space="preserve">6953387747</t>
  </si>
  <si>
    <t xml:space="preserve">Fadli Surya Graha</t>
  </si>
  <si>
    <t xml:space="preserve">5847576461</t>
  </si>
  <si>
    <t xml:space="preserve">Mosha Devanka</t>
  </si>
  <si>
    <t xml:space="preserve">5476729494</t>
  </si>
  <si>
    <t xml:space="preserve">5050221890</t>
  </si>
  <si>
    <t xml:space="preserve">Chandra Rahman</t>
  </si>
  <si>
    <t xml:space="preserve">6828978853</t>
  </si>
  <si>
    <t xml:space="preserve">Rima Rahmania</t>
  </si>
  <si>
    <t xml:space="preserve">6691271906</t>
  </si>
  <si>
    <t xml:space="preserve">Della Puspita Sari</t>
  </si>
  <si>
    <t xml:space="preserve">6766075765</t>
  </si>
  <si>
    <t xml:space="preserve">Evan Ahmed</t>
  </si>
  <si>
    <t xml:space="preserve">Booking.com — الدفعات (Payouts)</t>
  </si>
  <si>
    <t xml:space="preserve">الصافي والعدد يُحسبان من ورقة «Booking_الحجوزات». المسجّل في التقرير مدخل من التقرير الأول (أرقام زرقاء).</t>
  </si>
  <si>
    <t xml:space="preserve">عدد الحجوزات</t>
  </si>
  <si>
    <t xml:space="preserve">صافي الدفعة (CSV)</t>
  </si>
  <si>
    <t xml:space="preserve">منها إقامات سبتمبر</t>
  </si>
  <si>
    <t xml:space="preserve">منها إقامات أغسطس</t>
  </si>
  <si>
    <t xml:space="preserve">المسجّل في التقرير</t>
  </si>
  <si>
    <t xml:space="preserve">الفرق (سبتمبر − التقرير)</t>
  </si>
  <si>
    <t xml:space="preserve">تاريخ التسجيل في التقرير</t>
  </si>
  <si>
    <t xml:space="preserve">الجزء الأكبر (إقامات أغسطس) لا يدخل تقرير سبتمبر؛ فيه 3 حجوزات ملغاة</t>
  </si>
  <si>
    <t xml:space="preserve">سُجّلت في التقرير بتاريخ 19 سبتمبر</t>
  </si>
  <si>
    <t xml:space="preserve">التقرير لم يشمل حجز Fadly Ahmad (319,148). يشمل حجز Evan Ahmed (10 ليالٍ، 4,120,647). التأكد من نزوله يلزمه كشف أكتوبر</t>
  </si>
  <si>
    <t xml:space="preserve">الفروق الصغيرة (6–9 روبية) سببها تقريب الأجزاء في Booking. الفرق الأكبر في دفعة 1 أكتوبر سببه حجز Fadly Ahmad (يظهر في الدفعة بالـ CSV ولم يُحتسب في تحويل التقرير).</t>
  </si>
  <si>
    <t xml:space="preserve">مقارنة يومية بحسب تاريخ الدخول: التقرير الأول مقابل ملفات المنصتين</t>
  </si>
  <si>
    <t xml:space="preserve">التقرير: صفّا TIKET.COM وBOOKING.COM لكل يوم. الأيام التي يختلف فيها التوزيع (دون اختلاف الإجمالي) مظلّلة. إقامة Evan Ahmed (Booking، 10 ليالٍ من 16 إلى 26 سبتمبر) تظهر كلها يوم 16 في الملف، بينما يوزّعها التقرير على الأيام 16–25.</t>
  </si>
  <si>
    <t xml:space="preserve">التاريخ</t>
  </si>
  <si>
    <t xml:space="preserve">Tiket: التقرير</t>
  </si>
  <si>
    <t xml:space="preserve">Tiket: الملف (issued)</t>
  </si>
  <si>
    <t xml:space="preserve">فرق Tiket</t>
  </si>
  <si>
    <t xml:space="preserve">Booking: التقرير</t>
  </si>
  <si>
    <t xml:space="preserve">Booking: الملفات (الصافي)</t>
  </si>
  <si>
    <t xml:space="preserve">فرق Booking</t>
  </si>
  <si>
    <t xml:space="preserve">ملاحظة: إجمالي Booking في الملفات أقل من التقرير بنحو 399,982 (حجز من 30 سبتمبر لم يُدفع بعد). إجمالي Tiket يتطابق بفرق تقريب 33 روبية.</t>
  </si>
</sst>
</file>

<file path=xl/styles.xml><?xml version="1.0" encoding="utf-8"?>
<styleSheet xmlns="http://schemas.openxmlformats.org/spreadsheetml/2006/main">
  <numFmts count="5">
    <numFmt numFmtId="164" formatCode="General"/>
    <numFmt numFmtId="165" formatCode="#,##0;\(#,##0\);\-"/>
    <numFmt numFmtId="166" formatCode="dd/mm/yyyy\ hh:mm"/>
    <numFmt numFmtId="167" formatCode="dd/mm/yyyy"/>
    <numFmt numFmtId="168" formatCode="#,##0.0;\(#,##0.0\);\-"/>
  </numFmts>
  <fonts count="11">
    <font>
      <sz val="11"/>
      <color theme="1"/>
      <name val="Calibri"/>
      <family val="2"/>
      <charset val="1"/>
    </font>
    <font>
      <sz val="10"/>
      <name val="Arial"/>
      <family val="0"/>
    </font>
    <font>
      <sz val="10"/>
      <name val="Arial"/>
      <family val="0"/>
    </font>
    <font>
      <sz val="10"/>
      <name val="Arial"/>
      <family val="0"/>
    </font>
    <font>
      <b val="true"/>
      <sz val="16"/>
      <color rgb="FF0B4F5C"/>
      <name val="Arial"/>
      <family val="0"/>
      <charset val="1"/>
    </font>
    <font>
      <i val="true"/>
      <sz val="9"/>
      <color rgb="FF595959"/>
      <name val="Arial"/>
      <family val="0"/>
      <charset val="1"/>
    </font>
    <font>
      <b val="true"/>
      <sz val="11"/>
      <color rgb="FF0B4F5C"/>
      <name val="Arial"/>
      <family val="0"/>
      <charset val="1"/>
    </font>
    <font>
      <b val="true"/>
      <sz val="10"/>
      <color rgb="FFFFFFFF"/>
      <name val="Arial"/>
      <family val="0"/>
      <charset val="1"/>
    </font>
    <font>
      <b val="true"/>
      <sz val="10"/>
      <name val="Arial"/>
      <family val="0"/>
      <charset val="1"/>
    </font>
    <font>
      <sz val="10"/>
      <name val="Arial"/>
      <family val="0"/>
      <charset val="1"/>
    </font>
    <font>
      <sz val="10"/>
      <color rgb="FF0000FF"/>
      <name val="Arial"/>
      <family val="0"/>
      <charset val="1"/>
    </font>
  </fonts>
  <fills count="10">
    <fill>
      <patternFill patternType="none"/>
    </fill>
    <fill>
      <patternFill patternType="gray125"/>
    </fill>
    <fill>
      <patternFill patternType="solid">
        <fgColor rgb="FFCFE3E7"/>
        <bgColor rgb="FFDFF1E3"/>
      </patternFill>
    </fill>
    <fill>
      <patternFill patternType="solid">
        <fgColor rgb="FF0B4F5C"/>
        <bgColor rgb="FF333333"/>
      </patternFill>
    </fill>
    <fill>
      <patternFill patternType="solid">
        <fgColor rgb="FFE3EEF0"/>
        <bgColor rgb="FFE7ECF3"/>
      </patternFill>
    </fill>
    <fill>
      <patternFill patternType="solid">
        <fgColor rgb="FFE7ECF3"/>
        <bgColor rgb="FFE3EEF0"/>
      </patternFill>
    </fill>
    <fill>
      <patternFill patternType="solid">
        <fgColor rgb="FFF8DEDE"/>
        <bgColor rgb="FFE7ECF3"/>
      </patternFill>
    </fill>
    <fill>
      <patternFill patternType="solid">
        <fgColor rgb="FFDFF1E3"/>
        <bgColor rgb="FFE3EEF0"/>
      </patternFill>
    </fill>
    <fill>
      <patternFill patternType="solid">
        <fgColor rgb="FFFFF1CC"/>
        <bgColor rgb="FFEAF6EC"/>
      </patternFill>
    </fill>
    <fill>
      <patternFill patternType="solid">
        <fgColor rgb="FFEAF6EC"/>
        <bgColor rgb="FFE3EEF0"/>
      </patternFill>
    </fill>
  </fills>
  <borders count="2">
    <border diagonalUp="false" diagonalDown="false">
      <left/>
      <right/>
      <top/>
      <bottom/>
      <diagonal/>
    </border>
    <border diagonalUp="false" diagonalDown="false">
      <left style="thin">
        <color rgb="FFBFC8CC"/>
      </left>
      <right style="thin">
        <color rgb="FFBFC8CC"/>
      </right>
      <top style="thin">
        <color rgb="FFBFC8CC"/>
      </top>
      <bottom style="thin">
        <color rgb="FFBFC8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2" borderId="0" xfId="0" applyFont="true" applyBorder="false" applyAlignment="false" applyProtection="false">
      <alignment horizontal="general" vertical="bottom" textRotation="0" wrapText="false" indent="0" shrinkToFit="false"/>
      <protection locked="true" hidden="false"/>
    </xf>
    <xf numFmtId="164" fontId="0" fillId="2" borderId="0" xfId="0" applyFont="false" applyBorder="false" applyAlignment="false" applyProtection="false">
      <alignment horizontal="general" vertical="bottom" textRotation="0" wrapText="false" indent="0"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0" borderId="1" xfId="0" applyFont="true" applyBorder="true" applyAlignment="true" applyProtection="false">
      <alignment horizontal="right" vertical="center" textRotation="0" wrapText="true" indent="0" shrinkToFit="false"/>
      <protection locked="true" hidden="false"/>
    </xf>
    <xf numFmtId="165" fontId="9" fillId="0" borderId="1" xfId="0" applyFont="true" applyBorder="true" applyAlignment="true" applyProtection="false">
      <alignment horizontal="right" vertical="center" textRotation="0" wrapText="true" indent="0" shrinkToFit="false"/>
      <protection locked="true" hidden="false"/>
    </xf>
    <xf numFmtId="165" fontId="10" fillId="0"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right" vertical="center" textRotation="0" wrapText="true" indent="0" shrinkToFit="false"/>
      <protection locked="true" hidden="false"/>
    </xf>
    <xf numFmtId="164" fontId="8" fillId="4" borderId="1" xfId="0" applyFont="true" applyBorder="true" applyAlignment="true" applyProtection="false">
      <alignment horizontal="right" vertical="center" textRotation="0" wrapText="true" indent="0" shrinkToFit="false"/>
      <protection locked="true" hidden="false"/>
    </xf>
    <xf numFmtId="165" fontId="8" fillId="4" borderId="1" xfId="0" applyFont="true" applyBorder="true" applyAlignment="true" applyProtection="false">
      <alignment horizontal="right" vertical="center" textRotation="0" wrapText="true" indent="0" shrinkToFit="false"/>
      <protection locked="true" hidden="false"/>
    </xf>
    <xf numFmtId="164" fontId="9" fillId="4" borderId="1" xfId="0" applyFont="true" applyBorder="true" applyAlignment="true" applyProtection="false">
      <alignment horizontal="right" vertical="center" textRotation="0" wrapText="true" indent="0" shrinkToFit="false"/>
      <protection locked="true" hidden="false"/>
    </xf>
    <xf numFmtId="164" fontId="9" fillId="0" borderId="1" xfId="0" applyFont="true" applyBorder="true" applyAlignment="true" applyProtection="false">
      <alignment horizontal="center" vertical="center" textRotation="0" wrapText="true" indent="0" shrinkToFit="false"/>
      <protection locked="true" hidden="false"/>
    </xf>
    <xf numFmtId="164" fontId="9" fillId="0" borderId="0" xfId="0" applyFont="true" applyBorder="true" applyAlignment="true" applyProtection="false">
      <alignment horizontal="right" vertical="top" textRotation="0" wrapText="true" indent="0" shrinkToFit="false"/>
      <protection locked="true" hidden="false"/>
    </xf>
    <xf numFmtId="166" fontId="9" fillId="0" borderId="1" xfId="0" applyFont="true" applyBorder="true" applyAlignment="true" applyProtection="false">
      <alignment horizontal="center" vertical="center" textRotation="0" wrapText="true" indent="0" shrinkToFit="false"/>
      <protection locked="true" hidden="false"/>
    </xf>
    <xf numFmtId="167" fontId="9" fillId="0" borderId="1" xfId="0" applyFont="true" applyBorder="true" applyAlignment="true" applyProtection="false">
      <alignment horizontal="center" vertical="center" textRotation="0" wrapText="true" indent="0" shrinkToFit="false"/>
      <protection locked="true" hidden="false"/>
    </xf>
    <xf numFmtId="164" fontId="9" fillId="5" borderId="1" xfId="0" applyFont="true" applyBorder="true" applyAlignment="true" applyProtection="false">
      <alignment horizontal="center" vertical="center" textRotation="0" wrapText="true" indent="0" shrinkToFit="false"/>
      <protection locked="true" hidden="false"/>
    </xf>
    <xf numFmtId="164" fontId="9" fillId="6" borderId="1" xfId="0" applyFont="true" applyBorder="true" applyAlignment="true" applyProtection="false">
      <alignment horizontal="center" vertical="center" textRotation="0" wrapText="true" indent="0" shrinkToFit="false"/>
      <protection locked="true" hidden="false"/>
    </xf>
    <xf numFmtId="164" fontId="9" fillId="7" borderId="1" xfId="0" applyFont="true" applyBorder="true" applyAlignment="true" applyProtection="false">
      <alignment horizontal="center" vertical="center" textRotation="0" wrapText="tru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center" vertical="center" textRotation="0" wrapText="true" indent="0" shrinkToFit="false"/>
      <protection locked="true" hidden="false"/>
    </xf>
    <xf numFmtId="168" fontId="9" fillId="0" borderId="1" xfId="0" applyFont="true" applyBorder="true" applyAlignment="true" applyProtection="false">
      <alignment horizontal="right" vertical="center" textRotation="0" wrapText="true" indent="0" shrinkToFit="false"/>
      <protection locked="true" hidden="false"/>
    </xf>
    <xf numFmtId="168" fontId="8" fillId="4" borderId="1" xfId="0" applyFont="true" applyBorder="true" applyAlignment="true" applyProtection="false">
      <alignment horizontal="right" vertical="center" textRotation="0" wrapText="true" indent="0" shrinkToFit="false"/>
      <protection locked="true" hidden="false"/>
    </xf>
    <xf numFmtId="164" fontId="9" fillId="9" borderId="1"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0B4F5C"/>
          <bgColor rgb="FF000000"/>
        </patternFill>
      </fill>
    </dxf>
    <dxf>
      <fill>
        <patternFill patternType="solid">
          <bgColor rgb="FF000000"/>
        </patternFill>
      </fill>
    </dxf>
    <dxf>
      <fill>
        <patternFill patternType="solid">
          <fgColor rgb="FFFFFFFF"/>
          <bgColor rgb="FF000000"/>
        </patternFill>
      </fill>
    </dxf>
    <dxf>
      <fill>
        <patternFill patternType="solid">
          <fgColor rgb="FFDFF1E3"/>
          <bgColor rgb="FF000000"/>
        </patternFill>
      </fill>
    </dxf>
    <dxf>
      <fill>
        <patternFill patternType="solid">
          <fgColor rgb="FFE7ECF3"/>
          <bgColor rgb="FF000000"/>
        </patternFill>
      </fill>
    </dxf>
    <dxf>
      <fill>
        <patternFill patternType="solid">
          <fgColor rgb="FFF8DEDE"/>
          <bgColor rgb="FF000000"/>
        </patternFill>
      </fill>
    </dxf>
    <dxf>
      <fill>
        <patternFill patternType="solid">
          <fgColor rgb="FFFFF1CC"/>
          <bgColor rgb="FF000000"/>
        </patternFill>
      </fill>
    </dxf>
    <dxf>
      <fill>
        <patternFill patternType="solid">
          <fgColor rgb="FFEAF6EC"/>
          <bgColor rgb="FF000000"/>
        </patternFill>
      </fill>
    </dxf>
    <dxf>
      <fill>
        <patternFill>
          <bgColor rgb="FFFFF1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C8CC"/>
      <rgbColor rgb="FF7A7A7A"/>
      <rgbColor rgb="FF9999FF"/>
      <rgbColor rgb="FF993366"/>
      <rgbColor rgb="FFFFF1CC"/>
      <rgbColor rgb="FFE3EEF0"/>
      <rgbColor rgb="FF660066"/>
      <rgbColor rgb="FFFF8080"/>
      <rgbColor rgb="FF0066CC"/>
      <rgbColor rgb="FFCFE3E7"/>
      <rgbColor rgb="FF000080"/>
      <rgbColor rgb="FFFF00FF"/>
      <rgbColor rgb="FFFFFF00"/>
      <rgbColor rgb="FF00FFFF"/>
      <rgbColor rgb="FF800080"/>
      <rgbColor rgb="FF800000"/>
      <rgbColor rgb="FF008080"/>
      <rgbColor rgb="FF0000FF"/>
      <rgbColor rgb="FF00CCFF"/>
      <rgbColor rgb="FFEAF6EC"/>
      <rgbColor rgb="FFDFF1E3"/>
      <rgbColor rgb="FFE7ECF3"/>
      <rgbColor rgb="FF99CCFF"/>
      <rgbColor rgb="FFFF99CC"/>
      <rgbColor rgb="FFCC99FF"/>
      <rgbColor rgb="FFF8DEDE"/>
      <rgbColor rgb="FF3366FF"/>
      <rgbColor rgb="FF33CCCC"/>
      <rgbColor rgb="FF99CC00"/>
      <rgbColor rgb="FFFFCC00"/>
      <rgbColor rgb="FFC98B2B"/>
      <rgbColor rgb="FFFF6600"/>
      <rgbColor rgb="FF595959"/>
      <rgbColor rgb="FF969696"/>
      <rgbColor rgb="FF0B4F5C"/>
      <rgbColor rgb="FF3B8EA5"/>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0B4F5C"/>
    <pageSetUpPr fitToPage="true"/>
  </sheetPr>
  <dimension ref="A1:F38"/>
  <sheetViews>
    <sheetView showFormulas="false" showGridLines="false" showRowColHeaders="true" showZeros="true" rightToLeft="tru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5" min="2" style="0" width="20"/>
    <col collapsed="false" customWidth="true" hidden="false" outlineLevel="0" max="6" min="6" style="0" width="44"/>
  </cols>
  <sheetData>
    <row r="1" customFormat="false" ht="27.75" hidden="false" customHeight="true" outlineLevel="0" collapsed="false">
      <c r="A1" s="1" t="s">
        <v>0</v>
      </c>
    </row>
    <row r="2" customFormat="false" ht="15" hidden="false" customHeight="false" outlineLevel="0" collapsed="false">
      <c r="A2" s="2" t="s">
        <v>1</v>
      </c>
    </row>
    <row r="4" customFormat="false" ht="15" hidden="false" customHeight="false" outlineLevel="0" collapsed="false">
      <c r="A4" s="3" t="s">
        <v>2</v>
      </c>
      <c r="B4" s="4"/>
      <c r="C4" s="4"/>
      <c r="D4" s="4"/>
      <c r="E4" s="4"/>
      <c r="F4" s="4"/>
    </row>
    <row r="5" customFormat="false" ht="30" hidden="false" customHeight="true" outlineLevel="0" collapsed="false">
      <c r="A5" s="5" t="s">
        <v>3</v>
      </c>
      <c r="B5" s="5" t="s">
        <v>4</v>
      </c>
      <c r="C5" s="5" t="s">
        <v>5</v>
      </c>
      <c r="D5" s="5" t="s">
        <v>6</v>
      </c>
      <c r="E5" s="5" t="s">
        <v>7</v>
      </c>
      <c r="F5" s="5" t="s">
        <v>8</v>
      </c>
    </row>
    <row r="6" customFormat="false" ht="23.85" hidden="false" customHeight="false" outlineLevel="0" collapsed="false">
      <c r="A6" s="6" t="s">
        <v>9</v>
      </c>
      <c r="B6" s="7" t="n">
        <f aca="false">SUMIFS(Tiket_التحويلات!$C$5:$C$24,Tiket_التحويلات!$E$5:$E$24,"القديم (استنتاج)")</f>
        <v>30384826</v>
      </c>
      <c r="C6" s="7" t="n">
        <f aca="false">SUMIFS(Tiket_التحويلات!$C$5:$C$24,Tiket_التحويلات!$E$5:$E$24,"الجديد (BNI)")</f>
        <v>13290160</v>
      </c>
      <c r="D6" s="7" t="n">
        <f aca="false">E6-B6-C6</f>
        <v>2381266</v>
      </c>
      <c r="E6" s="8" t="n">
        <v>46056252</v>
      </c>
      <c r="F6" s="9" t="s">
        <v>10</v>
      </c>
    </row>
    <row r="7" customFormat="false" ht="23.85" hidden="false" customHeight="false" outlineLevel="0" collapsed="false">
      <c r="A7" s="6" t="s">
        <v>11</v>
      </c>
      <c r="B7" s="7" t="n">
        <f aca="false">SUMIFS(Booking_الحجوزات!$L$5:$L$112,Booking_الحجوزات!$M$5:$M$112,"القديم (استنتاج)",Booking_الحجوزات!$E$5:$E$112,"&gt;="&amp;DATE(2026,9,1))</f>
        <v>26327680</v>
      </c>
      <c r="C7" s="7" t="n">
        <f aca="false">SUMIFS(Booking_الحجوزات!$L$5:$L$112,Booking_الحجوزات!$M$5:$M$112,"الجديد (متوقع)")</f>
        <v>13283018</v>
      </c>
      <c r="D7" s="7" t="n">
        <f aca="false">E7-B7-C7</f>
        <v>399982</v>
      </c>
      <c r="E7" s="8" t="n">
        <v>40010680</v>
      </c>
      <c r="F7" s="9" t="s">
        <v>12</v>
      </c>
    </row>
    <row r="8" customFormat="false" ht="15" hidden="false" customHeight="false" outlineLevel="0" collapsed="false">
      <c r="A8" s="10" t="s">
        <v>7</v>
      </c>
      <c r="B8" s="11" t="n">
        <f aca="false">SUM(B6:B7)</f>
        <v>56712506</v>
      </c>
      <c r="C8" s="11" t="n">
        <f aca="false">SUM(C6:C7)</f>
        <v>26573178</v>
      </c>
      <c r="D8" s="11" t="n">
        <f aca="false">SUM(D6:D7)</f>
        <v>2781248</v>
      </c>
      <c r="E8" s="11" t="n">
        <f aca="false">SUM(E6:E7)</f>
        <v>86066932</v>
      </c>
      <c r="F8" s="12"/>
    </row>
    <row r="10" customFormat="false" ht="15" hidden="false" customHeight="false" outlineLevel="0" collapsed="false">
      <c r="A10" s="3" t="s">
        <v>13</v>
      </c>
      <c r="B10" s="4"/>
      <c r="C10" s="4"/>
      <c r="D10" s="4"/>
      <c r="E10" s="4"/>
      <c r="F10" s="4"/>
    </row>
    <row r="11" customFormat="false" ht="31.5" hidden="false" customHeight="true" outlineLevel="0" collapsed="false">
      <c r="A11" s="5" t="s">
        <v>14</v>
      </c>
      <c r="B11" s="5" t="s">
        <v>15</v>
      </c>
      <c r="C11" s="5" t="s">
        <v>16</v>
      </c>
      <c r="D11" s="5"/>
      <c r="E11" s="5"/>
      <c r="F11" s="5" t="s">
        <v>17</v>
      </c>
    </row>
    <row r="12" customFormat="false" ht="15" hidden="false" customHeight="false" outlineLevel="0" collapsed="false">
      <c r="A12" s="9" t="s">
        <v>18</v>
      </c>
      <c r="B12" s="7" t="n">
        <f aca="false">E6</f>
        <v>46056252</v>
      </c>
      <c r="C12" s="13"/>
      <c r="D12" s="9"/>
      <c r="E12" s="9"/>
      <c r="F12" s="9" t="s">
        <v>19</v>
      </c>
    </row>
    <row r="13" customFormat="false" ht="15" hidden="false" customHeight="false" outlineLevel="0" collapsed="false">
      <c r="A13" s="9" t="s">
        <v>20</v>
      </c>
      <c r="B13" s="7" t="n">
        <f aca="false">SUMIFS(Tiket_الحجوزات!$L$5:$L$131,Tiket_الحجوزات!$I$5:$I$131,"issued")</f>
        <v>46056285</v>
      </c>
      <c r="C13" s="13" t="n">
        <f aca="false">COUNTIFS(Tiket_الحجوزات!$I$5:$I$131,"issued")</f>
        <v>96</v>
      </c>
      <c r="D13" s="9"/>
      <c r="E13" s="9"/>
      <c r="F13" s="9" t="s">
        <v>21</v>
      </c>
    </row>
    <row r="14" customFormat="false" ht="15" hidden="false" customHeight="false" outlineLevel="0" collapsed="false">
      <c r="A14" s="9" t="s">
        <v>22</v>
      </c>
      <c r="B14" s="7" t="n">
        <f aca="false">B13-B12</f>
        <v>33</v>
      </c>
      <c r="C14" s="13"/>
      <c r="D14" s="9"/>
      <c r="E14" s="9"/>
      <c r="F14" s="9" t="s">
        <v>23</v>
      </c>
    </row>
    <row r="15" customFormat="false" ht="15" hidden="false" customHeight="false" outlineLevel="0" collapsed="false">
      <c r="A15" s="9" t="s">
        <v>24</v>
      </c>
      <c r="B15" s="7" t="n">
        <f aca="false">SUMIFS(Tiket_الحجوزات!$K$5:$K$131,Tiket_الحجوزات!$I$5:$I$131,"refund")</f>
        <v>17847697.5</v>
      </c>
      <c r="C15" s="13" t="n">
        <f aca="false">COUNTIFS(Tiket_الحجوزات!$I$5:$I$131,"refund")</f>
        <v>31</v>
      </c>
      <c r="D15" s="9"/>
      <c r="E15" s="9"/>
      <c r="F15" s="9" t="s">
        <v>25</v>
      </c>
    </row>
    <row r="16" customFormat="false" ht="15" hidden="false" customHeight="false" outlineLevel="0" collapsed="false">
      <c r="A16" s="9" t="s">
        <v>26</v>
      </c>
      <c r="B16" s="7" t="n">
        <f aca="false">B6</f>
        <v>30384826</v>
      </c>
      <c r="C16" s="13" t="n">
        <f aca="false">COUNTIFS(Tiket_التحويلات!$E$5:$E$24,"القديم (استنتاج)")</f>
        <v>14</v>
      </c>
      <c r="D16" s="9"/>
      <c r="E16" s="9"/>
      <c r="F16" s="9" t="s">
        <v>27</v>
      </c>
    </row>
    <row r="17" customFormat="false" ht="15" hidden="false" customHeight="false" outlineLevel="0" collapsed="false">
      <c r="A17" s="9" t="s">
        <v>28</v>
      </c>
      <c r="B17" s="7" t="n">
        <f aca="false">Tiket_كشف_BNI!D32</f>
        <v>13290175</v>
      </c>
      <c r="C17" s="13" t="n">
        <f aca="false">COUNTA(Tiket_كشف_BNI!$E$5:$E$31)</f>
        <v>27</v>
      </c>
      <c r="D17" s="9"/>
      <c r="E17" s="9"/>
      <c r="F17" s="9" t="s">
        <v>29</v>
      </c>
    </row>
    <row r="18" customFormat="false" ht="15" hidden="false" customHeight="false" outlineLevel="0" collapsed="false">
      <c r="A18" s="9" t="s">
        <v>30</v>
      </c>
      <c r="B18" s="7" t="n">
        <f aca="false">C6</f>
        <v>13290160</v>
      </c>
      <c r="C18" s="13" t="n">
        <f aca="false">COUNTIFS(Tiket_التحويلات!$E$5:$E$24,"الجديد (BNI)")</f>
        <v>6</v>
      </c>
      <c r="D18" s="9"/>
      <c r="E18" s="9"/>
      <c r="F18" s="9" t="s">
        <v>31</v>
      </c>
    </row>
    <row r="19" customFormat="false" ht="15" hidden="false" customHeight="false" outlineLevel="0" collapsed="false">
      <c r="A19" s="9" t="s">
        <v>32</v>
      </c>
      <c r="B19" s="7" t="n">
        <f aca="false">D6</f>
        <v>2381266</v>
      </c>
      <c r="C19" s="13" t="n">
        <f aca="false">COUNTIFS(Tiket_الحجوزات!$P$5:$P$131,"لم ينزل بعد")</f>
        <v>5</v>
      </c>
      <c r="D19" s="9"/>
      <c r="E19" s="9"/>
      <c r="F19" s="9" t="s">
        <v>33</v>
      </c>
    </row>
    <row r="21" customFormat="false" ht="15" hidden="false" customHeight="false" outlineLevel="0" collapsed="false">
      <c r="A21" s="3" t="s">
        <v>34</v>
      </c>
      <c r="B21" s="4"/>
      <c r="C21" s="4"/>
      <c r="D21" s="4"/>
      <c r="E21" s="4"/>
      <c r="F21" s="4"/>
    </row>
    <row r="22" customFormat="false" ht="31.5" hidden="false" customHeight="true" outlineLevel="0" collapsed="false">
      <c r="A22" s="5" t="s">
        <v>14</v>
      </c>
      <c r="B22" s="5" t="s">
        <v>15</v>
      </c>
      <c r="C22" s="5" t="s">
        <v>16</v>
      </c>
      <c r="D22" s="5"/>
      <c r="E22" s="5"/>
      <c r="F22" s="5" t="s">
        <v>17</v>
      </c>
    </row>
    <row r="23" customFormat="false" ht="15" hidden="false" customHeight="false" outlineLevel="0" collapsed="false">
      <c r="A23" s="9" t="s">
        <v>35</v>
      </c>
      <c r="B23" s="7" t="n">
        <f aca="false">E7</f>
        <v>40010680</v>
      </c>
      <c r="C23" s="13"/>
      <c r="D23" s="9"/>
      <c r="E23" s="9"/>
      <c r="F23" s="9" t="s">
        <v>36</v>
      </c>
    </row>
    <row r="24" customFormat="false" ht="15" hidden="false" customHeight="false" outlineLevel="0" collapsed="false">
      <c r="A24" s="9" t="s">
        <v>37</v>
      </c>
      <c r="B24" s="7" t="n">
        <f aca="false">SUMIFS(Booking_الحجوزات!$L$5:$L$112,Booking_الحجوزات!$E$5:$E$112,"&gt;="&amp;DATE(2026,9,1))</f>
        <v>39610698</v>
      </c>
      <c r="C24" s="13" t="n">
        <f aca="false">COUNTIFS(Booking_الحجوزات!$E$5:$E$112,"&gt;="&amp;DATE(2026,9,1))</f>
        <v>86</v>
      </c>
      <c r="D24" s="9"/>
      <c r="E24" s="9"/>
      <c r="F24" s="9" t="s">
        <v>38</v>
      </c>
    </row>
    <row r="25" customFormat="false" ht="15" hidden="false" customHeight="false" outlineLevel="0" collapsed="false">
      <c r="A25" s="9" t="s">
        <v>39</v>
      </c>
      <c r="B25" s="7" t="n">
        <f aca="false">B23-B24</f>
        <v>399982</v>
      </c>
      <c r="C25" s="13"/>
      <c r="D25" s="9"/>
      <c r="E25" s="9"/>
      <c r="F25" s="9" t="s">
        <v>40</v>
      </c>
    </row>
    <row r="26" customFormat="false" ht="15" hidden="false" customHeight="false" outlineLevel="0" collapsed="false">
      <c r="A26" s="9" t="s">
        <v>41</v>
      </c>
      <c r="B26" s="7" t="n">
        <f aca="false">SUMIFS(Booking_الحجوزات!$L$5:$L$112,Booking_الحجوزات!$M$5:$M$112,"القديم (استنتاج)",Booking_الحجوزات!$E$5:$E$112,"&gt;="&amp;DATE(2026,9,1))</f>
        <v>26327680</v>
      </c>
      <c r="C26" s="13"/>
      <c r="D26" s="9"/>
      <c r="E26" s="9"/>
      <c r="F26" s="9" t="s">
        <v>42</v>
      </c>
    </row>
    <row r="27" customFormat="false" ht="15" hidden="false" customHeight="false" outlineLevel="0" collapsed="false">
      <c r="A27" s="9" t="s">
        <v>43</v>
      </c>
      <c r="B27" s="7" t="n">
        <f aca="false">SUMIFS(Booking_الحجوزات!$L$5:$L$112,Booking_الحجوزات!$M$5:$M$112,"القديم (استنتاج)",Booking_الحجوزات!$E$5:$E$112,"&lt;"&amp;DATE(2026,9,1))</f>
        <v>9655227</v>
      </c>
      <c r="C27" s="13"/>
      <c r="D27" s="9"/>
      <c r="E27" s="9"/>
      <c r="F27" s="9" t="s">
        <v>44</v>
      </c>
    </row>
    <row r="28" customFormat="false" ht="15" hidden="false" customHeight="false" outlineLevel="0" collapsed="false">
      <c r="A28" s="9" t="s">
        <v>45</v>
      </c>
      <c r="B28" s="7" t="n">
        <f aca="false">B26+B27</f>
        <v>35982907</v>
      </c>
      <c r="C28" s="13" t="n">
        <f aca="false">COUNTIFS(Booking_الحجوزات!$M$5:$M$112,"القديم (استنتاج)")</f>
        <v>85</v>
      </c>
      <c r="D28" s="9"/>
      <c r="E28" s="9"/>
      <c r="F28" s="9" t="s">
        <v>46</v>
      </c>
    </row>
    <row r="29" customFormat="false" ht="15" hidden="false" customHeight="false" outlineLevel="0" collapsed="false">
      <c r="A29" s="9" t="s">
        <v>47</v>
      </c>
      <c r="B29" s="7" t="n">
        <f aca="false">SUMIFS(Booking_الحجوزات!$L$5:$L$112,Booking_الحجوزات!$M$5:$M$112,"الجديد (متوقع)")</f>
        <v>13283018</v>
      </c>
      <c r="C29" s="13" t="n">
        <f aca="false">COUNTIFS(Booking_الحجوزات!$M$5:$M$112,"الجديد (متوقع)")</f>
        <v>23</v>
      </c>
      <c r="D29" s="9"/>
      <c r="E29" s="9"/>
      <c r="F29" s="9" t="s">
        <v>48</v>
      </c>
    </row>
    <row r="30" customFormat="false" ht="15" hidden="false" customHeight="false" outlineLevel="0" collapsed="false">
      <c r="A30" s="9" t="s">
        <v>49</v>
      </c>
      <c r="B30" s="7" t="n">
        <f aca="false">Booking_الدفعات!F9</f>
        <v>12963879</v>
      </c>
      <c r="C30" s="13"/>
      <c r="D30" s="9"/>
      <c r="E30" s="9"/>
      <c r="F30" s="9"/>
    </row>
    <row r="31" customFormat="false" ht="15" hidden="false" customHeight="false" outlineLevel="0" collapsed="false">
      <c r="A31" s="9" t="s">
        <v>22</v>
      </c>
      <c r="B31" s="7" t="n">
        <f aca="false">B29-B30</f>
        <v>319139</v>
      </c>
      <c r="C31" s="13"/>
      <c r="D31" s="9"/>
      <c r="E31" s="9"/>
      <c r="F31" s="9"/>
    </row>
    <row r="33" customFormat="false" ht="15" hidden="false" customHeight="false" outlineLevel="0" collapsed="false">
      <c r="A33" s="3" t="s">
        <v>50</v>
      </c>
      <c r="B33" s="4"/>
      <c r="C33" s="4"/>
      <c r="D33" s="4"/>
      <c r="E33" s="4"/>
      <c r="F33" s="4"/>
    </row>
    <row r="34" customFormat="false" ht="30" hidden="false" customHeight="true" outlineLevel="0" collapsed="false">
      <c r="A34" s="14" t="s">
        <v>51</v>
      </c>
      <c r="B34" s="14"/>
      <c r="C34" s="14"/>
      <c r="D34" s="14"/>
      <c r="E34" s="14"/>
      <c r="F34" s="14"/>
    </row>
    <row r="35" customFormat="false" ht="30" hidden="false" customHeight="true" outlineLevel="0" collapsed="false">
      <c r="A35" s="14" t="s">
        <v>52</v>
      </c>
      <c r="B35" s="14"/>
      <c r="C35" s="14"/>
      <c r="D35" s="14"/>
      <c r="E35" s="14"/>
      <c r="F35" s="14"/>
    </row>
    <row r="36" customFormat="false" ht="30" hidden="false" customHeight="true" outlineLevel="0" collapsed="false">
      <c r="A36" s="14" t="s">
        <v>53</v>
      </c>
      <c r="B36" s="14"/>
      <c r="C36" s="14"/>
      <c r="D36" s="14"/>
      <c r="E36" s="14"/>
      <c r="F36" s="14"/>
    </row>
    <row r="37" customFormat="false" ht="30" hidden="false" customHeight="true" outlineLevel="0" collapsed="false">
      <c r="A37" s="14" t="s">
        <v>54</v>
      </c>
      <c r="B37" s="14"/>
      <c r="C37" s="14"/>
      <c r="D37" s="14"/>
      <c r="E37" s="14"/>
      <c r="F37" s="14"/>
    </row>
    <row r="38" customFormat="false" ht="30" hidden="false" customHeight="true" outlineLevel="0" collapsed="false">
      <c r="A38" s="14" t="s">
        <v>55</v>
      </c>
      <c r="B38" s="14"/>
      <c r="C38" s="14"/>
      <c r="D38" s="14"/>
      <c r="E38" s="14"/>
      <c r="F38" s="14"/>
    </row>
  </sheetData>
  <mergeCells count="5">
    <mergeCell ref="A34:F34"/>
    <mergeCell ref="A35:F35"/>
    <mergeCell ref="A36:F36"/>
    <mergeCell ref="A37:F37"/>
    <mergeCell ref="A38:F38"/>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EA5"/>
    <pageSetUpPr fitToPage="true"/>
  </sheetPr>
  <dimension ref="A1:P13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3" ySplit="4" topLeftCell="D5" activePane="bottomRight" state="frozen"/>
      <selection pane="topLeft" activeCell="A1" activeCellId="0" sqref="A1"/>
      <selection pane="topRight" activeCell="D1" activeCellId="0" sqref="D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3"/>
    <col collapsed="false" customWidth="true" hidden="false" outlineLevel="0" max="3" min="3" style="0" width="26"/>
    <col collapsed="false" customWidth="true" hidden="false" outlineLevel="0" max="4" min="4" style="0" width="17"/>
    <col collapsed="false" customWidth="true" hidden="false" outlineLevel="0" max="6" min="5" style="0" width="12"/>
    <col collapsed="false" customWidth="true" hidden="false" outlineLevel="0" max="7" min="7" style="0" width="8"/>
    <col collapsed="false" customWidth="true" hidden="false" outlineLevel="0" max="8" min="8" style="0" width="36"/>
    <col collapsed="false" customWidth="true" hidden="false" outlineLevel="0" max="9" min="9" style="0" width="9"/>
    <col collapsed="false" customWidth="true" hidden="false" outlineLevel="0" max="15" min="10" style="0" width="14"/>
    <col collapsed="false" customWidth="true" hidden="false" outlineLevel="0" max="16" min="16" style="0" width="17"/>
  </cols>
  <sheetData>
    <row r="1" customFormat="false" ht="25.5" hidden="false" customHeight="true" outlineLevel="0" collapsed="false">
      <c r="A1" s="1" t="s">
        <v>56</v>
      </c>
    </row>
    <row r="2" customFormat="false" ht="15" hidden="false" customHeight="false" outlineLevel="0" collapsed="false">
      <c r="A2" s="2" t="s">
        <v>57</v>
      </c>
    </row>
    <row r="4" customFormat="false" ht="31.5" hidden="false" customHeight="true" outlineLevel="0" collapsed="false">
      <c r="A4" s="5" t="s">
        <v>58</v>
      </c>
      <c r="B4" s="5" t="s">
        <v>59</v>
      </c>
      <c r="C4" s="5" t="s">
        <v>60</v>
      </c>
      <c r="D4" s="5" t="s">
        <v>61</v>
      </c>
      <c r="E4" s="5" t="s">
        <v>62</v>
      </c>
      <c r="F4" s="5" t="s">
        <v>63</v>
      </c>
      <c r="G4" s="5" t="s">
        <v>64</v>
      </c>
      <c r="H4" s="5" t="s">
        <v>65</v>
      </c>
      <c r="I4" s="5" t="s">
        <v>66</v>
      </c>
      <c r="J4" s="5" t="s">
        <v>67</v>
      </c>
      <c r="K4" s="5" t="s">
        <v>68</v>
      </c>
      <c r="L4" s="5" t="s">
        <v>7</v>
      </c>
      <c r="M4" s="5" t="s">
        <v>69</v>
      </c>
      <c r="N4" s="5" t="s">
        <v>70</v>
      </c>
      <c r="O4" s="5" t="s">
        <v>71</v>
      </c>
      <c r="P4" s="5" t="s">
        <v>72</v>
      </c>
    </row>
    <row r="5" customFormat="false" ht="15" hidden="false" customHeight="false" outlineLevel="0" collapsed="false">
      <c r="A5" s="13" t="n">
        <v>1</v>
      </c>
      <c r="B5" s="13" t="s">
        <v>73</v>
      </c>
      <c r="C5" s="9" t="s">
        <v>74</v>
      </c>
      <c r="D5" s="15" t="n">
        <v>46245.7469564815</v>
      </c>
      <c r="E5" s="16" t="n">
        <v>46266</v>
      </c>
      <c r="F5" s="16" t="n">
        <v>46267</v>
      </c>
      <c r="G5" s="13" t="n">
        <v>1</v>
      </c>
      <c r="H5" s="9" t="s">
        <v>75</v>
      </c>
      <c r="I5" s="13" t="s">
        <v>76</v>
      </c>
      <c r="J5" s="7" t="n">
        <v>311457.5</v>
      </c>
      <c r="K5" s="7" t="n">
        <v>0</v>
      </c>
      <c r="L5" s="7" t="n">
        <v>311457.5</v>
      </c>
      <c r="M5" s="13"/>
      <c r="N5" s="9"/>
      <c r="O5" s="9"/>
      <c r="P5" s="17" t="s">
        <v>77</v>
      </c>
    </row>
    <row r="6" customFormat="false" ht="15" hidden="false" customHeight="false" outlineLevel="0" collapsed="false">
      <c r="A6" s="13" t="n">
        <v>2</v>
      </c>
      <c r="B6" s="13" t="s">
        <v>78</v>
      </c>
      <c r="C6" s="9" t="s">
        <v>79</v>
      </c>
      <c r="D6" s="15" t="n">
        <v>46254.1416060417</v>
      </c>
      <c r="E6" s="16" t="n">
        <v>46266</v>
      </c>
      <c r="F6" s="16" t="n">
        <v>46267</v>
      </c>
      <c r="G6" s="13" t="n">
        <v>1</v>
      </c>
      <c r="H6" s="9" t="s">
        <v>80</v>
      </c>
      <c r="I6" s="13" t="s">
        <v>81</v>
      </c>
      <c r="J6" s="7" t="n">
        <v>583490</v>
      </c>
      <c r="K6" s="7" t="n">
        <v>583490</v>
      </c>
      <c r="L6" s="7" t="n">
        <v>0</v>
      </c>
      <c r="M6" s="13" t="s">
        <v>82</v>
      </c>
      <c r="N6" s="9"/>
      <c r="O6" s="9"/>
      <c r="P6" s="18" t="s">
        <v>83</v>
      </c>
    </row>
    <row r="7" customFormat="false" ht="15" hidden="false" customHeight="false" outlineLevel="0" collapsed="false">
      <c r="A7" s="13" t="n">
        <v>3</v>
      </c>
      <c r="B7" s="13" t="s">
        <v>84</v>
      </c>
      <c r="C7" s="9" t="s">
        <v>85</v>
      </c>
      <c r="D7" s="15" t="n">
        <v>46266.430413125</v>
      </c>
      <c r="E7" s="16" t="n">
        <v>46266</v>
      </c>
      <c r="F7" s="16" t="n">
        <v>46267</v>
      </c>
      <c r="G7" s="13" t="n">
        <v>1</v>
      </c>
      <c r="H7" s="9" t="s">
        <v>80</v>
      </c>
      <c r="I7" s="13" t="s">
        <v>76</v>
      </c>
      <c r="J7" s="7" t="n">
        <v>583490</v>
      </c>
      <c r="K7" s="7" t="n">
        <v>0</v>
      </c>
      <c r="L7" s="7" t="n">
        <v>583490</v>
      </c>
      <c r="M7" s="13"/>
      <c r="N7" s="9"/>
      <c r="O7" s="9"/>
      <c r="P7" s="17" t="s">
        <v>77</v>
      </c>
    </row>
    <row r="8" customFormat="false" ht="15" hidden="false" customHeight="false" outlineLevel="0" collapsed="false">
      <c r="A8" s="13" t="n">
        <v>4</v>
      </c>
      <c r="B8" s="13" t="s">
        <v>86</v>
      </c>
      <c r="C8" s="9" t="s">
        <v>87</v>
      </c>
      <c r="D8" s="15" t="n">
        <v>46266.5426837269</v>
      </c>
      <c r="E8" s="16" t="n">
        <v>46266</v>
      </c>
      <c r="F8" s="16" t="n">
        <v>46267</v>
      </c>
      <c r="G8" s="13" t="n">
        <v>1</v>
      </c>
      <c r="H8" s="9" t="s">
        <v>88</v>
      </c>
      <c r="I8" s="13" t="s">
        <v>76</v>
      </c>
      <c r="J8" s="7" t="n">
        <v>390307.5</v>
      </c>
      <c r="K8" s="7" t="n">
        <v>0</v>
      </c>
      <c r="L8" s="7" t="n">
        <v>390307.5</v>
      </c>
      <c r="M8" s="13"/>
      <c r="N8" s="9"/>
      <c r="O8" s="9"/>
      <c r="P8" s="17" t="s">
        <v>77</v>
      </c>
    </row>
    <row r="9" customFormat="false" ht="15" hidden="false" customHeight="false" outlineLevel="0" collapsed="false">
      <c r="A9" s="13" t="n">
        <v>5</v>
      </c>
      <c r="B9" s="13" t="s">
        <v>89</v>
      </c>
      <c r="C9" s="9" t="s">
        <v>90</v>
      </c>
      <c r="D9" s="15" t="n">
        <v>46266.7568366435</v>
      </c>
      <c r="E9" s="16" t="n">
        <v>46266</v>
      </c>
      <c r="F9" s="16" t="n">
        <v>46267</v>
      </c>
      <c r="G9" s="13" t="n">
        <v>1</v>
      </c>
      <c r="H9" s="9" t="s">
        <v>91</v>
      </c>
      <c r="I9" s="13" t="s">
        <v>76</v>
      </c>
      <c r="J9" s="7" t="n">
        <v>350882.5</v>
      </c>
      <c r="K9" s="7" t="n">
        <v>0</v>
      </c>
      <c r="L9" s="7" t="n">
        <v>350882.5</v>
      </c>
      <c r="M9" s="13"/>
      <c r="N9" s="9"/>
      <c r="O9" s="9"/>
      <c r="P9" s="17" t="s">
        <v>77</v>
      </c>
    </row>
    <row r="10" customFormat="false" ht="15" hidden="false" customHeight="false" outlineLevel="0" collapsed="false">
      <c r="A10" s="13" t="n">
        <v>6</v>
      </c>
      <c r="B10" s="13" t="s">
        <v>92</v>
      </c>
      <c r="C10" s="9" t="s">
        <v>93</v>
      </c>
      <c r="D10" s="15" t="n">
        <v>46266.9764910648</v>
      </c>
      <c r="E10" s="16" t="n">
        <v>46266</v>
      </c>
      <c r="F10" s="16" t="n">
        <v>46267</v>
      </c>
      <c r="G10" s="13" t="n">
        <v>1</v>
      </c>
      <c r="H10" s="9" t="s">
        <v>88</v>
      </c>
      <c r="I10" s="13" t="s">
        <v>76</v>
      </c>
      <c r="J10" s="7" t="n">
        <v>390307.5</v>
      </c>
      <c r="K10" s="7" t="n">
        <v>0</v>
      </c>
      <c r="L10" s="7" t="n">
        <v>390307.5</v>
      </c>
      <c r="M10" s="13"/>
      <c r="N10" s="9"/>
      <c r="O10" s="9"/>
      <c r="P10" s="17" t="s">
        <v>77</v>
      </c>
    </row>
    <row r="11" customFormat="false" ht="15" hidden="false" customHeight="false" outlineLevel="0" collapsed="false">
      <c r="A11" s="13" t="n">
        <v>7</v>
      </c>
      <c r="B11" s="13" t="s">
        <v>94</v>
      </c>
      <c r="C11" s="9" t="s">
        <v>95</v>
      </c>
      <c r="D11" s="15" t="n">
        <v>46240.6180580093</v>
      </c>
      <c r="E11" s="16" t="n">
        <v>46267</v>
      </c>
      <c r="F11" s="16" t="n">
        <v>46268</v>
      </c>
      <c r="G11" s="13" t="n">
        <v>1</v>
      </c>
      <c r="H11" s="9" t="s">
        <v>80</v>
      </c>
      <c r="I11" s="13" t="s">
        <v>81</v>
      </c>
      <c r="J11" s="7" t="n">
        <v>583490</v>
      </c>
      <c r="K11" s="7" t="n">
        <v>583490</v>
      </c>
      <c r="L11" s="7" t="n">
        <v>0</v>
      </c>
      <c r="M11" s="13" t="s">
        <v>82</v>
      </c>
      <c r="N11" s="9"/>
      <c r="O11" s="9"/>
      <c r="P11" s="18" t="s">
        <v>83</v>
      </c>
    </row>
    <row r="12" customFormat="false" ht="15" hidden="false" customHeight="false" outlineLevel="0" collapsed="false">
      <c r="A12" s="13" t="n">
        <v>8</v>
      </c>
      <c r="B12" s="13" t="s">
        <v>96</v>
      </c>
      <c r="C12" s="9" t="s">
        <v>95</v>
      </c>
      <c r="D12" s="15" t="n">
        <v>46240.6220080324</v>
      </c>
      <c r="E12" s="16" t="n">
        <v>46267</v>
      </c>
      <c r="F12" s="16" t="n">
        <v>46268</v>
      </c>
      <c r="G12" s="13" t="n">
        <v>1</v>
      </c>
      <c r="H12" s="9" t="s">
        <v>80</v>
      </c>
      <c r="I12" s="13" t="s">
        <v>81</v>
      </c>
      <c r="J12" s="7" t="n">
        <v>583490</v>
      </c>
      <c r="K12" s="7" t="n">
        <v>583490</v>
      </c>
      <c r="L12" s="7" t="n">
        <v>0</v>
      </c>
      <c r="M12" s="13" t="s">
        <v>82</v>
      </c>
      <c r="N12" s="9"/>
      <c r="O12" s="9"/>
      <c r="P12" s="18" t="s">
        <v>83</v>
      </c>
    </row>
    <row r="13" customFormat="false" ht="15" hidden="false" customHeight="false" outlineLevel="0" collapsed="false">
      <c r="A13" s="13" t="n">
        <v>9</v>
      </c>
      <c r="B13" s="13" t="s">
        <v>97</v>
      </c>
      <c r="C13" s="9" t="s">
        <v>98</v>
      </c>
      <c r="D13" s="15" t="n">
        <v>46262.967380081</v>
      </c>
      <c r="E13" s="16" t="n">
        <v>46267</v>
      </c>
      <c r="F13" s="16" t="n">
        <v>46268</v>
      </c>
      <c r="G13" s="13" t="n">
        <v>1</v>
      </c>
      <c r="H13" s="9" t="s">
        <v>88</v>
      </c>
      <c r="I13" s="13" t="s">
        <v>81</v>
      </c>
      <c r="J13" s="7" t="n">
        <v>390307.5</v>
      </c>
      <c r="K13" s="7" t="n">
        <v>390307.5</v>
      </c>
      <c r="L13" s="7" t="n">
        <v>0</v>
      </c>
      <c r="M13" s="13" t="s">
        <v>82</v>
      </c>
      <c r="N13" s="9"/>
      <c r="O13" s="9"/>
      <c r="P13" s="18" t="s">
        <v>83</v>
      </c>
    </row>
    <row r="14" customFormat="false" ht="15" hidden="false" customHeight="false" outlineLevel="0" collapsed="false">
      <c r="A14" s="13" t="n">
        <v>10</v>
      </c>
      <c r="B14" s="13" t="s">
        <v>99</v>
      </c>
      <c r="C14" s="9" t="s">
        <v>100</v>
      </c>
      <c r="D14" s="15" t="n">
        <v>46266.9958469097</v>
      </c>
      <c r="E14" s="16" t="n">
        <v>46267</v>
      </c>
      <c r="F14" s="16" t="n">
        <v>46268</v>
      </c>
      <c r="G14" s="13" t="n">
        <v>1</v>
      </c>
      <c r="H14" s="9" t="s">
        <v>75</v>
      </c>
      <c r="I14" s="13" t="s">
        <v>76</v>
      </c>
      <c r="J14" s="7" t="n">
        <v>311457.5</v>
      </c>
      <c r="K14" s="7" t="n">
        <v>0</v>
      </c>
      <c r="L14" s="7" t="n">
        <v>311457.5</v>
      </c>
      <c r="M14" s="13"/>
      <c r="N14" s="9"/>
      <c r="O14" s="9"/>
      <c r="P14" s="17" t="s">
        <v>77</v>
      </c>
    </row>
    <row r="15" customFormat="false" ht="15" hidden="false" customHeight="false" outlineLevel="0" collapsed="false">
      <c r="A15" s="13" t="n">
        <v>11</v>
      </c>
      <c r="B15" s="13" t="s">
        <v>101</v>
      </c>
      <c r="C15" s="9" t="s">
        <v>102</v>
      </c>
      <c r="D15" s="15" t="n">
        <v>46267.6460749074</v>
      </c>
      <c r="E15" s="16" t="n">
        <v>46267</v>
      </c>
      <c r="F15" s="16" t="n">
        <v>46268</v>
      </c>
      <c r="G15" s="13" t="n">
        <v>1</v>
      </c>
      <c r="H15" s="9" t="s">
        <v>88</v>
      </c>
      <c r="I15" s="13" t="s">
        <v>76</v>
      </c>
      <c r="J15" s="7" t="n">
        <v>390307.5</v>
      </c>
      <c r="K15" s="7" t="n">
        <v>0</v>
      </c>
      <c r="L15" s="7" t="n">
        <v>390307.5</v>
      </c>
      <c r="M15" s="13"/>
      <c r="N15" s="9"/>
      <c r="O15" s="9"/>
      <c r="P15" s="17" t="s">
        <v>77</v>
      </c>
    </row>
    <row r="16" customFormat="false" ht="15" hidden="false" customHeight="false" outlineLevel="0" collapsed="false">
      <c r="A16" s="13" t="n">
        <v>12</v>
      </c>
      <c r="B16" s="13" t="s">
        <v>103</v>
      </c>
      <c r="C16" s="9" t="s">
        <v>104</v>
      </c>
      <c r="D16" s="15" t="n">
        <v>46267.7775393403</v>
      </c>
      <c r="E16" s="16" t="n">
        <v>46267</v>
      </c>
      <c r="F16" s="16" t="n">
        <v>46268</v>
      </c>
      <c r="G16" s="13" t="n">
        <v>1</v>
      </c>
      <c r="H16" s="9" t="s">
        <v>91</v>
      </c>
      <c r="I16" s="13" t="s">
        <v>76</v>
      </c>
      <c r="J16" s="7" t="n">
        <v>350882.5</v>
      </c>
      <c r="K16" s="7" t="n">
        <v>0</v>
      </c>
      <c r="L16" s="7" t="n">
        <v>350882.5</v>
      </c>
      <c r="M16" s="13"/>
      <c r="N16" s="9"/>
      <c r="O16" s="9"/>
      <c r="P16" s="17" t="s">
        <v>77</v>
      </c>
    </row>
    <row r="17" customFormat="false" ht="15" hidden="false" customHeight="false" outlineLevel="0" collapsed="false">
      <c r="A17" s="13" t="n">
        <v>13</v>
      </c>
      <c r="B17" s="13" t="s">
        <v>105</v>
      </c>
      <c r="C17" s="9" t="s">
        <v>106</v>
      </c>
      <c r="D17" s="15" t="n">
        <v>46248.1284124306</v>
      </c>
      <c r="E17" s="16" t="n">
        <v>46268</v>
      </c>
      <c r="F17" s="16" t="n">
        <v>46269</v>
      </c>
      <c r="G17" s="13" t="n">
        <v>1</v>
      </c>
      <c r="H17" s="9" t="s">
        <v>80</v>
      </c>
      <c r="I17" s="13" t="s">
        <v>81</v>
      </c>
      <c r="J17" s="7" t="n">
        <v>583490</v>
      </c>
      <c r="K17" s="7" t="n">
        <v>583490</v>
      </c>
      <c r="L17" s="7" t="n">
        <v>0</v>
      </c>
      <c r="M17" s="13" t="s">
        <v>82</v>
      </c>
      <c r="N17" s="9"/>
      <c r="O17" s="9"/>
      <c r="P17" s="18" t="s">
        <v>83</v>
      </c>
    </row>
    <row r="18" customFormat="false" ht="15" hidden="false" customHeight="false" outlineLevel="0" collapsed="false">
      <c r="A18" s="13" t="n">
        <v>14</v>
      </c>
      <c r="B18" s="13" t="s">
        <v>107</v>
      </c>
      <c r="C18" s="9" t="s">
        <v>108</v>
      </c>
      <c r="D18" s="15" t="n">
        <v>46266.9287921296</v>
      </c>
      <c r="E18" s="16" t="n">
        <v>46268</v>
      </c>
      <c r="F18" s="16" t="n">
        <v>46269</v>
      </c>
      <c r="G18" s="13" t="n">
        <v>1</v>
      </c>
      <c r="H18" s="9" t="s">
        <v>80</v>
      </c>
      <c r="I18" s="13" t="s">
        <v>76</v>
      </c>
      <c r="J18" s="7" t="n">
        <v>583490</v>
      </c>
      <c r="K18" s="7" t="n">
        <v>0</v>
      </c>
      <c r="L18" s="7" t="n">
        <v>583490</v>
      </c>
      <c r="M18" s="13"/>
      <c r="N18" s="9"/>
      <c r="O18" s="9"/>
      <c r="P18" s="17" t="s">
        <v>77</v>
      </c>
    </row>
    <row r="19" customFormat="false" ht="15" hidden="false" customHeight="false" outlineLevel="0" collapsed="false">
      <c r="A19" s="13" t="n">
        <v>15</v>
      </c>
      <c r="B19" s="13" t="s">
        <v>109</v>
      </c>
      <c r="C19" s="9" t="s">
        <v>110</v>
      </c>
      <c r="D19" s="15" t="n">
        <v>46268.6343483218</v>
      </c>
      <c r="E19" s="16" t="n">
        <v>46268</v>
      </c>
      <c r="F19" s="16" t="n">
        <v>46269</v>
      </c>
      <c r="G19" s="13" t="n">
        <v>1</v>
      </c>
      <c r="H19" s="9" t="s">
        <v>88</v>
      </c>
      <c r="I19" s="13" t="s">
        <v>76</v>
      </c>
      <c r="J19" s="7" t="n">
        <v>390307.5</v>
      </c>
      <c r="K19" s="7" t="n">
        <v>0</v>
      </c>
      <c r="L19" s="7" t="n">
        <v>390307.5</v>
      </c>
      <c r="M19" s="13"/>
      <c r="N19" s="9"/>
      <c r="O19" s="9"/>
      <c r="P19" s="17" t="s">
        <v>77</v>
      </c>
    </row>
    <row r="20" customFormat="false" ht="15" hidden="false" customHeight="false" outlineLevel="0" collapsed="false">
      <c r="A20" s="13" t="n">
        <v>16</v>
      </c>
      <c r="B20" s="13" t="s">
        <v>111</v>
      </c>
      <c r="C20" s="9" t="s">
        <v>112</v>
      </c>
      <c r="D20" s="15" t="n">
        <v>46265.4594109954</v>
      </c>
      <c r="E20" s="16" t="n">
        <v>46269</v>
      </c>
      <c r="F20" s="16" t="n">
        <v>46270</v>
      </c>
      <c r="G20" s="13" t="n">
        <v>1</v>
      </c>
      <c r="H20" s="9" t="s">
        <v>80</v>
      </c>
      <c r="I20" s="13" t="s">
        <v>81</v>
      </c>
      <c r="J20" s="7" t="n">
        <v>709650</v>
      </c>
      <c r="K20" s="7" t="n">
        <v>709650</v>
      </c>
      <c r="L20" s="7" t="n">
        <v>0</v>
      </c>
      <c r="M20" s="13" t="s">
        <v>82</v>
      </c>
      <c r="N20" s="9"/>
      <c r="O20" s="9"/>
      <c r="P20" s="18" t="s">
        <v>83</v>
      </c>
    </row>
    <row r="21" customFormat="false" ht="15" hidden="false" customHeight="false" outlineLevel="0" collapsed="false">
      <c r="A21" s="13" t="n">
        <v>17</v>
      </c>
      <c r="B21" s="13" t="s">
        <v>113</v>
      </c>
      <c r="C21" s="9" t="s">
        <v>114</v>
      </c>
      <c r="D21" s="15" t="n">
        <v>46269.5777721528</v>
      </c>
      <c r="E21" s="16" t="n">
        <v>46269</v>
      </c>
      <c r="F21" s="16" t="n">
        <v>46270</v>
      </c>
      <c r="G21" s="13" t="n">
        <v>1</v>
      </c>
      <c r="H21" s="9" t="s">
        <v>88</v>
      </c>
      <c r="I21" s="13" t="s">
        <v>76</v>
      </c>
      <c r="J21" s="7" t="n">
        <v>429732.5</v>
      </c>
      <c r="K21" s="7" t="n">
        <v>0</v>
      </c>
      <c r="L21" s="7" t="n">
        <v>429732.5</v>
      </c>
      <c r="M21" s="13"/>
      <c r="N21" s="9"/>
      <c r="O21" s="9"/>
      <c r="P21" s="17" t="s">
        <v>77</v>
      </c>
    </row>
    <row r="22" customFormat="false" ht="15" hidden="false" customHeight="false" outlineLevel="0" collapsed="false">
      <c r="A22" s="13" t="n">
        <v>18</v>
      </c>
      <c r="B22" s="13" t="s">
        <v>115</v>
      </c>
      <c r="C22" s="9" t="s">
        <v>116</v>
      </c>
      <c r="D22" s="15" t="n">
        <v>46269.5855233681</v>
      </c>
      <c r="E22" s="16" t="n">
        <v>46269</v>
      </c>
      <c r="F22" s="16" t="n">
        <v>46270</v>
      </c>
      <c r="G22" s="13" t="n">
        <v>1</v>
      </c>
      <c r="H22" s="9" t="s">
        <v>88</v>
      </c>
      <c r="I22" s="13" t="s">
        <v>76</v>
      </c>
      <c r="J22" s="7" t="n">
        <v>429732.5</v>
      </c>
      <c r="K22" s="7" t="n">
        <v>0</v>
      </c>
      <c r="L22" s="7" t="n">
        <v>429732.5</v>
      </c>
      <c r="M22" s="13"/>
      <c r="N22" s="9"/>
      <c r="O22" s="9"/>
      <c r="P22" s="17" t="s">
        <v>77</v>
      </c>
    </row>
    <row r="23" customFormat="false" ht="15" hidden="false" customHeight="false" outlineLevel="0" collapsed="false">
      <c r="A23" s="13" t="n">
        <v>19</v>
      </c>
      <c r="B23" s="13" t="s">
        <v>117</v>
      </c>
      <c r="C23" s="9" t="s">
        <v>118</v>
      </c>
      <c r="D23" s="15" t="n">
        <v>46253.5621451968</v>
      </c>
      <c r="E23" s="16" t="n">
        <v>46270</v>
      </c>
      <c r="F23" s="16" t="n">
        <v>46271</v>
      </c>
      <c r="G23" s="13" t="n">
        <v>1</v>
      </c>
      <c r="H23" s="9" t="s">
        <v>80</v>
      </c>
      <c r="I23" s="13" t="s">
        <v>76</v>
      </c>
      <c r="J23" s="7" t="n">
        <v>709650</v>
      </c>
      <c r="K23" s="7" t="n">
        <v>0</v>
      </c>
      <c r="L23" s="7" t="n">
        <v>709650</v>
      </c>
      <c r="M23" s="13"/>
      <c r="N23" s="9"/>
      <c r="O23" s="9"/>
      <c r="P23" s="17" t="s">
        <v>77</v>
      </c>
    </row>
    <row r="24" customFormat="false" ht="15" hidden="false" customHeight="false" outlineLevel="0" collapsed="false">
      <c r="A24" s="13" t="n">
        <v>20</v>
      </c>
      <c r="B24" s="13" t="s">
        <v>119</v>
      </c>
      <c r="C24" s="9" t="s">
        <v>120</v>
      </c>
      <c r="D24" s="15" t="n">
        <v>46260.5648478125</v>
      </c>
      <c r="E24" s="16" t="n">
        <v>46270</v>
      </c>
      <c r="F24" s="16" t="n">
        <v>46271</v>
      </c>
      <c r="G24" s="13" t="n">
        <v>1</v>
      </c>
      <c r="H24" s="9" t="s">
        <v>88</v>
      </c>
      <c r="I24" s="13" t="s">
        <v>81</v>
      </c>
      <c r="J24" s="7" t="n">
        <v>429732.5</v>
      </c>
      <c r="K24" s="7" t="n">
        <v>429732.5</v>
      </c>
      <c r="L24" s="7" t="n">
        <v>0</v>
      </c>
      <c r="M24" s="13" t="s">
        <v>82</v>
      </c>
      <c r="N24" s="9"/>
      <c r="O24" s="9"/>
      <c r="P24" s="18" t="s">
        <v>83</v>
      </c>
    </row>
    <row r="25" customFormat="false" ht="15" hidden="false" customHeight="false" outlineLevel="0" collapsed="false">
      <c r="A25" s="13" t="n">
        <v>21</v>
      </c>
      <c r="B25" s="13" t="s">
        <v>121</v>
      </c>
      <c r="C25" s="9" t="s">
        <v>120</v>
      </c>
      <c r="D25" s="15" t="n">
        <v>46260.5666345949</v>
      </c>
      <c r="E25" s="16" t="n">
        <v>46270</v>
      </c>
      <c r="F25" s="16" t="n">
        <v>46271</v>
      </c>
      <c r="G25" s="13" t="n">
        <v>1</v>
      </c>
      <c r="H25" s="9" t="s">
        <v>88</v>
      </c>
      <c r="I25" s="13" t="s">
        <v>81</v>
      </c>
      <c r="J25" s="7" t="n">
        <v>429732.5</v>
      </c>
      <c r="K25" s="7" t="n">
        <v>429732.5</v>
      </c>
      <c r="L25" s="7" t="n">
        <v>0</v>
      </c>
      <c r="M25" s="13" t="s">
        <v>82</v>
      </c>
      <c r="N25" s="9"/>
      <c r="O25" s="9"/>
      <c r="P25" s="18" t="s">
        <v>83</v>
      </c>
    </row>
    <row r="26" customFormat="false" ht="15" hidden="false" customHeight="false" outlineLevel="0" collapsed="false">
      <c r="A26" s="13" t="n">
        <v>22</v>
      </c>
      <c r="B26" s="13" t="s">
        <v>122</v>
      </c>
      <c r="C26" s="9" t="s">
        <v>123</v>
      </c>
      <c r="D26" s="15" t="n">
        <v>46260.6466545949</v>
      </c>
      <c r="E26" s="16" t="n">
        <v>46270</v>
      </c>
      <c r="F26" s="16" t="n">
        <v>46271</v>
      </c>
      <c r="G26" s="13" t="n">
        <v>1</v>
      </c>
      <c r="H26" s="9" t="s">
        <v>88</v>
      </c>
      <c r="I26" s="13" t="s">
        <v>81</v>
      </c>
      <c r="J26" s="7" t="n">
        <v>429732.5</v>
      </c>
      <c r="K26" s="7" t="n">
        <v>429732.5</v>
      </c>
      <c r="L26" s="7" t="n">
        <v>0</v>
      </c>
      <c r="M26" s="13" t="s">
        <v>82</v>
      </c>
      <c r="N26" s="9"/>
      <c r="O26" s="9"/>
      <c r="P26" s="18" t="s">
        <v>83</v>
      </c>
    </row>
    <row r="27" customFormat="false" ht="15" hidden="false" customHeight="false" outlineLevel="0" collapsed="false">
      <c r="A27" s="13" t="n">
        <v>23</v>
      </c>
      <c r="B27" s="13" t="s">
        <v>124</v>
      </c>
      <c r="C27" s="9" t="s">
        <v>123</v>
      </c>
      <c r="D27" s="15" t="n">
        <v>46260.6534496991</v>
      </c>
      <c r="E27" s="16" t="n">
        <v>46270</v>
      </c>
      <c r="F27" s="16" t="n">
        <v>46271</v>
      </c>
      <c r="G27" s="13" t="n">
        <v>1</v>
      </c>
      <c r="H27" s="9" t="s">
        <v>88</v>
      </c>
      <c r="I27" s="13" t="s">
        <v>81</v>
      </c>
      <c r="J27" s="7" t="n">
        <v>429732.5</v>
      </c>
      <c r="K27" s="7" t="n">
        <v>429732.5</v>
      </c>
      <c r="L27" s="7" t="n">
        <v>0</v>
      </c>
      <c r="M27" s="13" t="s">
        <v>82</v>
      </c>
      <c r="N27" s="9"/>
      <c r="O27" s="9"/>
      <c r="P27" s="18" t="s">
        <v>83</v>
      </c>
    </row>
    <row r="28" customFormat="false" ht="15" hidden="false" customHeight="false" outlineLevel="0" collapsed="false">
      <c r="A28" s="13" t="n">
        <v>24</v>
      </c>
      <c r="B28" s="13" t="s">
        <v>125</v>
      </c>
      <c r="C28" s="9" t="s">
        <v>123</v>
      </c>
      <c r="D28" s="15" t="n">
        <v>46260.6687180903</v>
      </c>
      <c r="E28" s="16" t="n">
        <v>46270</v>
      </c>
      <c r="F28" s="16" t="n">
        <v>46271</v>
      </c>
      <c r="G28" s="13" t="n">
        <v>1</v>
      </c>
      <c r="H28" s="9" t="s">
        <v>88</v>
      </c>
      <c r="I28" s="13" t="s">
        <v>76</v>
      </c>
      <c r="J28" s="7" t="n">
        <v>429732.5</v>
      </c>
      <c r="K28" s="7" t="n">
        <v>0</v>
      </c>
      <c r="L28" s="7" t="n">
        <v>429732.5</v>
      </c>
      <c r="M28" s="13"/>
      <c r="N28" s="9"/>
      <c r="O28" s="9"/>
      <c r="P28" s="17" t="s">
        <v>77</v>
      </c>
    </row>
    <row r="29" customFormat="false" ht="15" hidden="false" customHeight="false" outlineLevel="0" collapsed="false">
      <c r="A29" s="13" t="n">
        <v>25</v>
      </c>
      <c r="B29" s="13" t="s">
        <v>126</v>
      </c>
      <c r="C29" s="9" t="s">
        <v>127</v>
      </c>
      <c r="D29" s="15" t="n">
        <v>46267.4828328241</v>
      </c>
      <c r="E29" s="16" t="n">
        <v>46270</v>
      </c>
      <c r="F29" s="16" t="n">
        <v>46271</v>
      </c>
      <c r="G29" s="13" t="n">
        <v>1</v>
      </c>
      <c r="H29" s="9" t="s">
        <v>75</v>
      </c>
      <c r="I29" s="13" t="s">
        <v>76</v>
      </c>
      <c r="J29" s="7" t="n">
        <v>350882.5</v>
      </c>
      <c r="K29" s="7" t="n">
        <v>0</v>
      </c>
      <c r="L29" s="7" t="n">
        <v>350882.5</v>
      </c>
      <c r="M29" s="13"/>
      <c r="N29" s="9"/>
      <c r="O29" s="9"/>
      <c r="P29" s="17" t="s">
        <v>77</v>
      </c>
    </row>
    <row r="30" customFormat="false" ht="15" hidden="false" customHeight="false" outlineLevel="0" collapsed="false">
      <c r="A30" s="13" t="n">
        <v>26</v>
      </c>
      <c r="B30" s="13" t="s">
        <v>128</v>
      </c>
      <c r="C30" s="9" t="s">
        <v>129</v>
      </c>
      <c r="D30" s="15" t="n">
        <v>46267.5434165857</v>
      </c>
      <c r="E30" s="16" t="n">
        <v>46270</v>
      </c>
      <c r="F30" s="16" t="n">
        <v>46271</v>
      </c>
      <c r="G30" s="13" t="n">
        <v>1</v>
      </c>
      <c r="H30" s="9" t="s">
        <v>91</v>
      </c>
      <c r="I30" s="13" t="s">
        <v>76</v>
      </c>
      <c r="J30" s="7" t="n">
        <v>780615</v>
      </c>
      <c r="K30" s="7" t="n">
        <v>0</v>
      </c>
      <c r="L30" s="7" t="n">
        <v>780615</v>
      </c>
      <c r="M30" s="13"/>
      <c r="N30" s="9"/>
      <c r="O30" s="9"/>
      <c r="P30" s="17" t="s">
        <v>77</v>
      </c>
    </row>
    <row r="31" customFormat="false" ht="15" hidden="false" customHeight="false" outlineLevel="0" collapsed="false">
      <c r="A31" s="13" t="n">
        <v>27</v>
      </c>
      <c r="B31" s="13" t="s">
        <v>130</v>
      </c>
      <c r="C31" s="9" t="s">
        <v>131</v>
      </c>
      <c r="D31" s="15" t="n">
        <v>46268.4883369329</v>
      </c>
      <c r="E31" s="16" t="n">
        <v>46270</v>
      </c>
      <c r="F31" s="16" t="n">
        <v>46271</v>
      </c>
      <c r="G31" s="13" t="n">
        <v>1</v>
      </c>
      <c r="H31" s="9" t="s">
        <v>88</v>
      </c>
      <c r="I31" s="13" t="s">
        <v>76</v>
      </c>
      <c r="J31" s="7" t="n">
        <v>429732.5</v>
      </c>
      <c r="K31" s="7" t="n">
        <v>0</v>
      </c>
      <c r="L31" s="7" t="n">
        <v>429732.5</v>
      </c>
      <c r="M31" s="13"/>
      <c r="N31" s="9"/>
      <c r="O31" s="9"/>
      <c r="P31" s="17" t="s">
        <v>77</v>
      </c>
    </row>
    <row r="32" customFormat="false" ht="15" hidden="false" customHeight="false" outlineLevel="0" collapsed="false">
      <c r="A32" s="13" t="n">
        <v>28</v>
      </c>
      <c r="B32" s="13" t="s">
        <v>132</v>
      </c>
      <c r="C32" s="9" t="s">
        <v>133</v>
      </c>
      <c r="D32" s="15" t="n">
        <v>46268.8642913194</v>
      </c>
      <c r="E32" s="16" t="n">
        <v>46270</v>
      </c>
      <c r="F32" s="16" t="n">
        <v>46271</v>
      </c>
      <c r="G32" s="13" t="n">
        <v>1</v>
      </c>
      <c r="H32" s="9" t="s">
        <v>88</v>
      </c>
      <c r="I32" s="13" t="s">
        <v>76</v>
      </c>
      <c r="J32" s="7" t="n">
        <v>429732.5</v>
      </c>
      <c r="K32" s="7" t="n">
        <v>0</v>
      </c>
      <c r="L32" s="7" t="n">
        <v>429732.5</v>
      </c>
      <c r="M32" s="13"/>
      <c r="N32" s="9"/>
      <c r="O32" s="9"/>
      <c r="P32" s="17" t="s">
        <v>77</v>
      </c>
    </row>
    <row r="33" customFormat="false" ht="15" hidden="false" customHeight="false" outlineLevel="0" collapsed="false">
      <c r="A33" s="13" t="n">
        <v>29</v>
      </c>
      <c r="B33" s="13" t="s">
        <v>134</v>
      </c>
      <c r="C33" s="9" t="s">
        <v>135</v>
      </c>
      <c r="D33" s="15" t="n">
        <v>46270.4613009028</v>
      </c>
      <c r="E33" s="16" t="n">
        <v>46270</v>
      </c>
      <c r="F33" s="16" t="n">
        <v>46271</v>
      </c>
      <c r="G33" s="13" t="n">
        <v>1</v>
      </c>
      <c r="H33" s="9" t="s">
        <v>136</v>
      </c>
      <c r="I33" s="13" t="s">
        <v>76</v>
      </c>
      <c r="J33" s="7" t="n">
        <v>599260</v>
      </c>
      <c r="K33" s="7" t="n">
        <v>0</v>
      </c>
      <c r="L33" s="7" t="n">
        <v>599260</v>
      </c>
      <c r="M33" s="13"/>
      <c r="N33" s="9"/>
      <c r="O33" s="9"/>
      <c r="P33" s="17" t="s">
        <v>77</v>
      </c>
    </row>
    <row r="34" customFormat="false" ht="15" hidden="false" customHeight="false" outlineLevel="0" collapsed="false">
      <c r="A34" s="13" t="n">
        <v>30</v>
      </c>
      <c r="B34" s="13" t="s">
        <v>137</v>
      </c>
      <c r="C34" s="9" t="s">
        <v>138</v>
      </c>
      <c r="D34" s="15" t="n">
        <v>46270.563556331</v>
      </c>
      <c r="E34" s="16" t="n">
        <v>46270</v>
      </c>
      <c r="F34" s="16" t="n">
        <v>46271</v>
      </c>
      <c r="G34" s="13" t="n">
        <v>1</v>
      </c>
      <c r="H34" s="9" t="s">
        <v>80</v>
      </c>
      <c r="I34" s="13" t="s">
        <v>76</v>
      </c>
      <c r="J34" s="7" t="n">
        <v>709650</v>
      </c>
      <c r="K34" s="7" t="n">
        <v>0</v>
      </c>
      <c r="L34" s="7" t="n">
        <v>709650</v>
      </c>
      <c r="M34" s="13"/>
      <c r="N34" s="9"/>
      <c r="O34" s="9"/>
      <c r="P34" s="17" t="s">
        <v>77</v>
      </c>
    </row>
    <row r="35" customFormat="false" ht="15" hidden="false" customHeight="false" outlineLevel="0" collapsed="false">
      <c r="A35" s="13" t="n">
        <v>31</v>
      </c>
      <c r="B35" s="13" t="s">
        <v>139</v>
      </c>
      <c r="C35" s="9" t="s">
        <v>140</v>
      </c>
      <c r="D35" s="15" t="n">
        <v>46259.0032665278</v>
      </c>
      <c r="E35" s="16" t="n">
        <v>46271</v>
      </c>
      <c r="F35" s="16" t="n">
        <v>46272</v>
      </c>
      <c r="G35" s="13" t="n">
        <v>1</v>
      </c>
      <c r="H35" s="9" t="s">
        <v>80</v>
      </c>
      <c r="I35" s="13" t="s">
        <v>81</v>
      </c>
      <c r="J35" s="7" t="n">
        <v>583490</v>
      </c>
      <c r="K35" s="7" t="n">
        <v>583490</v>
      </c>
      <c r="L35" s="7" t="n">
        <v>0</v>
      </c>
      <c r="M35" s="13" t="s">
        <v>82</v>
      </c>
      <c r="N35" s="9"/>
      <c r="O35" s="9"/>
      <c r="P35" s="18" t="s">
        <v>83</v>
      </c>
    </row>
    <row r="36" customFormat="false" ht="15" hidden="false" customHeight="false" outlineLevel="0" collapsed="false">
      <c r="A36" s="13" t="n">
        <v>32</v>
      </c>
      <c r="B36" s="13" t="s">
        <v>141</v>
      </c>
      <c r="C36" s="9" t="s">
        <v>142</v>
      </c>
      <c r="D36" s="15" t="n">
        <v>46267.7235971528</v>
      </c>
      <c r="E36" s="16" t="n">
        <v>46271</v>
      </c>
      <c r="F36" s="16" t="n">
        <v>46272</v>
      </c>
      <c r="G36" s="13" t="n">
        <v>1</v>
      </c>
      <c r="H36" s="9" t="s">
        <v>80</v>
      </c>
      <c r="I36" s="13" t="s">
        <v>81</v>
      </c>
      <c r="J36" s="7" t="n">
        <v>583490</v>
      </c>
      <c r="K36" s="7" t="n">
        <v>583490</v>
      </c>
      <c r="L36" s="7" t="n">
        <v>0</v>
      </c>
      <c r="M36" s="13" t="s">
        <v>82</v>
      </c>
      <c r="N36" s="9"/>
      <c r="O36" s="9"/>
      <c r="P36" s="18" t="s">
        <v>83</v>
      </c>
    </row>
    <row r="37" customFormat="false" ht="15" hidden="false" customHeight="false" outlineLevel="0" collapsed="false">
      <c r="A37" s="13" t="n">
        <v>33</v>
      </c>
      <c r="B37" s="13" t="s">
        <v>143</v>
      </c>
      <c r="C37" s="9" t="s">
        <v>144</v>
      </c>
      <c r="D37" s="15" t="n">
        <v>46267.8227361806</v>
      </c>
      <c r="E37" s="16" t="n">
        <v>46271</v>
      </c>
      <c r="F37" s="16" t="n">
        <v>46272</v>
      </c>
      <c r="G37" s="13" t="n">
        <v>1</v>
      </c>
      <c r="H37" s="9" t="s">
        <v>80</v>
      </c>
      <c r="I37" s="13" t="s">
        <v>76</v>
      </c>
      <c r="J37" s="7" t="n">
        <v>583490</v>
      </c>
      <c r="K37" s="7" t="n">
        <v>0</v>
      </c>
      <c r="L37" s="7" t="n">
        <v>583490</v>
      </c>
      <c r="M37" s="13"/>
      <c r="N37" s="9"/>
      <c r="O37" s="9"/>
      <c r="P37" s="17" t="s">
        <v>77</v>
      </c>
    </row>
    <row r="38" customFormat="false" ht="15" hidden="false" customHeight="false" outlineLevel="0" collapsed="false">
      <c r="A38" s="13" t="n">
        <v>34</v>
      </c>
      <c r="B38" s="13" t="s">
        <v>145</v>
      </c>
      <c r="C38" s="9" t="s">
        <v>114</v>
      </c>
      <c r="D38" s="15" t="n">
        <v>46270.661931794</v>
      </c>
      <c r="E38" s="16" t="n">
        <v>46271</v>
      </c>
      <c r="F38" s="16" t="n">
        <v>46272</v>
      </c>
      <c r="G38" s="13" t="n">
        <v>1</v>
      </c>
      <c r="H38" s="9" t="s">
        <v>88</v>
      </c>
      <c r="I38" s="13" t="s">
        <v>76</v>
      </c>
      <c r="J38" s="7" t="n">
        <v>390307.5</v>
      </c>
      <c r="K38" s="7" t="n">
        <v>0</v>
      </c>
      <c r="L38" s="7" t="n">
        <v>390307.5</v>
      </c>
      <c r="M38" s="13"/>
      <c r="N38" s="9"/>
      <c r="O38" s="9"/>
      <c r="P38" s="17" t="s">
        <v>77</v>
      </c>
    </row>
    <row r="39" customFormat="false" ht="15" hidden="false" customHeight="false" outlineLevel="0" collapsed="false">
      <c r="A39" s="13" t="n">
        <v>35</v>
      </c>
      <c r="B39" s="13" t="s">
        <v>146</v>
      </c>
      <c r="C39" s="9" t="s">
        <v>147</v>
      </c>
      <c r="D39" s="15" t="n">
        <v>46271.2085812847</v>
      </c>
      <c r="E39" s="16" t="n">
        <v>46271</v>
      </c>
      <c r="F39" s="16" t="n">
        <v>46272</v>
      </c>
      <c r="G39" s="13" t="n">
        <v>1</v>
      </c>
      <c r="H39" s="9" t="s">
        <v>75</v>
      </c>
      <c r="I39" s="13" t="s">
        <v>76</v>
      </c>
      <c r="J39" s="7" t="n">
        <v>311457.5</v>
      </c>
      <c r="K39" s="7" t="n">
        <v>0</v>
      </c>
      <c r="L39" s="7" t="n">
        <v>311457.5</v>
      </c>
      <c r="M39" s="13"/>
      <c r="N39" s="9"/>
      <c r="O39" s="9"/>
      <c r="P39" s="17" t="s">
        <v>77</v>
      </c>
    </row>
    <row r="40" customFormat="false" ht="15" hidden="false" customHeight="false" outlineLevel="0" collapsed="false">
      <c r="A40" s="13" t="n">
        <v>36</v>
      </c>
      <c r="B40" s="13" t="s">
        <v>148</v>
      </c>
      <c r="C40" s="9" t="s">
        <v>149</v>
      </c>
      <c r="D40" s="15" t="n">
        <v>46271.4343693171</v>
      </c>
      <c r="E40" s="16" t="n">
        <v>46271</v>
      </c>
      <c r="F40" s="16" t="n">
        <v>46272</v>
      </c>
      <c r="G40" s="13" t="n">
        <v>1</v>
      </c>
      <c r="H40" s="9" t="s">
        <v>136</v>
      </c>
      <c r="I40" s="13" t="s">
        <v>76</v>
      </c>
      <c r="J40" s="7" t="n">
        <v>433675</v>
      </c>
      <c r="K40" s="7" t="n">
        <v>0</v>
      </c>
      <c r="L40" s="7" t="n">
        <v>433675</v>
      </c>
      <c r="M40" s="13"/>
      <c r="N40" s="9"/>
      <c r="O40" s="9"/>
      <c r="P40" s="17" t="s">
        <v>77</v>
      </c>
    </row>
    <row r="41" customFormat="false" ht="15" hidden="false" customHeight="false" outlineLevel="0" collapsed="false">
      <c r="A41" s="13" t="n">
        <v>37</v>
      </c>
      <c r="B41" s="13" t="s">
        <v>150</v>
      </c>
      <c r="C41" s="9" t="s">
        <v>151</v>
      </c>
      <c r="D41" s="15" t="n">
        <v>46271.8686727546</v>
      </c>
      <c r="E41" s="16" t="n">
        <v>46271</v>
      </c>
      <c r="F41" s="16" t="n">
        <v>46272</v>
      </c>
      <c r="G41" s="13" t="n">
        <v>1</v>
      </c>
      <c r="H41" s="9" t="s">
        <v>88</v>
      </c>
      <c r="I41" s="13" t="s">
        <v>76</v>
      </c>
      <c r="J41" s="7" t="n">
        <v>390307.5</v>
      </c>
      <c r="K41" s="7" t="n">
        <v>0</v>
      </c>
      <c r="L41" s="7" t="n">
        <v>390307.5</v>
      </c>
      <c r="M41" s="13"/>
      <c r="N41" s="9"/>
      <c r="O41" s="9"/>
      <c r="P41" s="17" t="s">
        <v>77</v>
      </c>
    </row>
    <row r="42" customFormat="false" ht="15" hidden="false" customHeight="false" outlineLevel="0" collapsed="false">
      <c r="A42" s="13" t="n">
        <v>38</v>
      </c>
      <c r="B42" s="13" t="s">
        <v>152</v>
      </c>
      <c r="C42" s="9" t="s">
        <v>153</v>
      </c>
      <c r="D42" s="15" t="n">
        <v>46271.9089335301</v>
      </c>
      <c r="E42" s="16" t="n">
        <v>46271</v>
      </c>
      <c r="F42" s="16" t="n">
        <v>46273</v>
      </c>
      <c r="G42" s="13" t="n">
        <v>2</v>
      </c>
      <c r="H42" s="9" t="s">
        <v>88</v>
      </c>
      <c r="I42" s="13" t="s">
        <v>76</v>
      </c>
      <c r="J42" s="7" t="n">
        <v>780615</v>
      </c>
      <c r="K42" s="7" t="n">
        <v>0</v>
      </c>
      <c r="L42" s="7" t="n">
        <v>780615</v>
      </c>
      <c r="M42" s="13"/>
      <c r="N42" s="9"/>
      <c r="O42" s="9"/>
      <c r="P42" s="17" t="s">
        <v>77</v>
      </c>
    </row>
    <row r="43" customFormat="false" ht="15" hidden="false" customHeight="false" outlineLevel="0" collapsed="false">
      <c r="A43" s="13" t="n">
        <v>39</v>
      </c>
      <c r="B43" s="13" t="s">
        <v>154</v>
      </c>
      <c r="C43" s="9" t="s">
        <v>155</v>
      </c>
      <c r="D43" s="15" t="n">
        <v>46264.6997562037</v>
      </c>
      <c r="E43" s="16" t="n">
        <v>46272</v>
      </c>
      <c r="F43" s="16" t="n">
        <v>46274</v>
      </c>
      <c r="G43" s="13" t="n">
        <v>2</v>
      </c>
      <c r="H43" s="9" t="s">
        <v>75</v>
      </c>
      <c r="I43" s="13" t="s">
        <v>76</v>
      </c>
      <c r="J43" s="7" t="n">
        <v>622915</v>
      </c>
      <c r="K43" s="7" t="n">
        <v>0</v>
      </c>
      <c r="L43" s="7" t="n">
        <v>622915</v>
      </c>
      <c r="M43" s="13"/>
      <c r="N43" s="9"/>
      <c r="O43" s="9"/>
      <c r="P43" s="17" t="s">
        <v>77</v>
      </c>
    </row>
    <row r="44" customFormat="false" ht="15" hidden="false" customHeight="false" outlineLevel="0" collapsed="false">
      <c r="A44" s="13" t="n">
        <v>40</v>
      </c>
      <c r="B44" s="13" t="s">
        <v>156</v>
      </c>
      <c r="C44" s="9" t="s">
        <v>157</v>
      </c>
      <c r="D44" s="15" t="n">
        <v>46271.8412245718</v>
      </c>
      <c r="E44" s="16" t="n">
        <v>46272</v>
      </c>
      <c r="F44" s="16" t="n">
        <v>46273</v>
      </c>
      <c r="G44" s="13" t="n">
        <v>1</v>
      </c>
      <c r="H44" s="9" t="s">
        <v>88</v>
      </c>
      <c r="I44" s="13" t="s">
        <v>76</v>
      </c>
      <c r="J44" s="7" t="n">
        <v>390307.5</v>
      </c>
      <c r="K44" s="7" t="n">
        <v>0</v>
      </c>
      <c r="L44" s="7" t="n">
        <v>390307.5</v>
      </c>
      <c r="M44" s="13"/>
      <c r="N44" s="9"/>
      <c r="O44" s="9"/>
      <c r="P44" s="17" t="s">
        <v>77</v>
      </c>
    </row>
    <row r="45" customFormat="false" ht="15" hidden="false" customHeight="false" outlineLevel="0" collapsed="false">
      <c r="A45" s="13" t="n">
        <v>41</v>
      </c>
      <c r="B45" s="13" t="s">
        <v>158</v>
      </c>
      <c r="C45" s="9" t="s">
        <v>159</v>
      </c>
      <c r="D45" s="15" t="n">
        <v>46271.9989525347</v>
      </c>
      <c r="E45" s="16" t="n">
        <v>46272</v>
      </c>
      <c r="F45" s="16" t="n">
        <v>46273</v>
      </c>
      <c r="G45" s="13" t="n">
        <v>1</v>
      </c>
      <c r="H45" s="9" t="s">
        <v>80</v>
      </c>
      <c r="I45" s="13" t="s">
        <v>76</v>
      </c>
      <c r="J45" s="7" t="n">
        <v>583490</v>
      </c>
      <c r="K45" s="7" t="n">
        <v>0</v>
      </c>
      <c r="L45" s="7" t="n">
        <v>583490</v>
      </c>
      <c r="M45" s="13"/>
      <c r="N45" s="9"/>
      <c r="O45" s="9"/>
      <c r="P45" s="17" t="s">
        <v>77</v>
      </c>
    </row>
    <row r="46" customFormat="false" ht="15" hidden="false" customHeight="false" outlineLevel="0" collapsed="false">
      <c r="A46" s="13" t="n">
        <v>42</v>
      </c>
      <c r="B46" s="13" t="s">
        <v>160</v>
      </c>
      <c r="C46" s="9" t="s">
        <v>161</v>
      </c>
      <c r="D46" s="15" t="n">
        <v>46272.3457228357</v>
      </c>
      <c r="E46" s="16" t="n">
        <v>46272</v>
      </c>
      <c r="F46" s="16" t="n">
        <v>46273</v>
      </c>
      <c r="G46" s="13" t="n">
        <v>1</v>
      </c>
      <c r="H46" s="9" t="s">
        <v>88</v>
      </c>
      <c r="I46" s="13" t="s">
        <v>76</v>
      </c>
      <c r="J46" s="7" t="n">
        <v>390307.5</v>
      </c>
      <c r="K46" s="7" t="n">
        <v>0</v>
      </c>
      <c r="L46" s="7" t="n">
        <v>390307.5</v>
      </c>
      <c r="M46" s="13"/>
      <c r="N46" s="9"/>
      <c r="O46" s="9"/>
      <c r="P46" s="17" t="s">
        <v>77</v>
      </c>
    </row>
    <row r="47" customFormat="false" ht="15" hidden="false" customHeight="false" outlineLevel="0" collapsed="false">
      <c r="A47" s="13" t="n">
        <v>43</v>
      </c>
      <c r="B47" s="13" t="s">
        <v>162</v>
      </c>
      <c r="C47" s="9" t="s">
        <v>163</v>
      </c>
      <c r="D47" s="15" t="n">
        <v>46272.5686315625</v>
      </c>
      <c r="E47" s="16" t="n">
        <v>46272</v>
      </c>
      <c r="F47" s="16" t="n">
        <v>46273</v>
      </c>
      <c r="G47" s="13" t="n">
        <v>1</v>
      </c>
      <c r="H47" s="9" t="s">
        <v>136</v>
      </c>
      <c r="I47" s="13" t="s">
        <v>76</v>
      </c>
      <c r="J47" s="7" t="n">
        <v>433675</v>
      </c>
      <c r="K47" s="7" t="n">
        <v>0</v>
      </c>
      <c r="L47" s="7" t="n">
        <v>433675</v>
      </c>
      <c r="M47" s="13"/>
      <c r="N47" s="9"/>
      <c r="O47" s="9"/>
      <c r="P47" s="17" t="s">
        <v>77</v>
      </c>
    </row>
    <row r="48" customFormat="false" ht="15" hidden="false" customHeight="false" outlineLevel="0" collapsed="false">
      <c r="A48" s="13" t="n">
        <v>44</v>
      </c>
      <c r="B48" s="13" t="s">
        <v>164</v>
      </c>
      <c r="C48" s="9" t="s">
        <v>165</v>
      </c>
      <c r="D48" s="15" t="n">
        <v>46272.6712894676</v>
      </c>
      <c r="E48" s="16" t="n">
        <v>46272</v>
      </c>
      <c r="F48" s="16" t="n">
        <v>46273</v>
      </c>
      <c r="G48" s="13" t="n">
        <v>1</v>
      </c>
      <c r="H48" s="9" t="s">
        <v>91</v>
      </c>
      <c r="I48" s="13" t="s">
        <v>76</v>
      </c>
      <c r="J48" s="7" t="n">
        <v>350882.5</v>
      </c>
      <c r="K48" s="7" t="n">
        <v>0</v>
      </c>
      <c r="L48" s="7" t="n">
        <v>350882.5</v>
      </c>
      <c r="M48" s="13"/>
      <c r="N48" s="9"/>
      <c r="O48" s="9"/>
      <c r="P48" s="17" t="s">
        <v>77</v>
      </c>
    </row>
    <row r="49" customFormat="false" ht="15" hidden="false" customHeight="false" outlineLevel="0" collapsed="false">
      <c r="A49" s="13" t="n">
        <v>45</v>
      </c>
      <c r="B49" s="13" t="s">
        <v>166</v>
      </c>
      <c r="C49" s="9" t="s">
        <v>167</v>
      </c>
      <c r="D49" s="15" t="n">
        <v>46272.7792793866</v>
      </c>
      <c r="E49" s="16" t="n">
        <v>46272</v>
      </c>
      <c r="F49" s="16" t="n">
        <v>46273</v>
      </c>
      <c r="G49" s="13" t="n">
        <v>1</v>
      </c>
      <c r="H49" s="9" t="s">
        <v>91</v>
      </c>
      <c r="I49" s="13" t="s">
        <v>76</v>
      </c>
      <c r="J49" s="7" t="n">
        <v>350882.5</v>
      </c>
      <c r="K49" s="7" t="n">
        <v>0</v>
      </c>
      <c r="L49" s="7" t="n">
        <v>350882.5</v>
      </c>
      <c r="M49" s="13"/>
      <c r="N49" s="9"/>
      <c r="O49" s="9"/>
      <c r="P49" s="17" t="s">
        <v>77</v>
      </c>
    </row>
    <row r="50" customFormat="false" ht="15" hidden="false" customHeight="false" outlineLevel="0" collapsed="false">
      <c r="A50" s="13" t="n">
        <v>46</v>
      </c>
      <c r="B50" s="13" t="s">
        <v>168</v>
      </c>
      <c r="C50" s="9" t="s">
        <v>169</v>
      </c>
      <c r="D50" s="15" t="n">
        <v>46237.4001970255</v>
      </c>
      <c r="E50" s="16" t="n">
        <v>46273</v>
      </c>
      <c r="F50" s="16" t="n">
        <v>46274</v>
      </c>
      <c r="G50" s="13" t="n">
        <v>1</v>
      </c>
      <c r="H50" s="9" t="s">
        <v>80</v>
      </c>
      <c r="I50" s="13" t="s">
        <v>81</v>
      </c>
      <c r="J50" s="7" t="n">
        <v>583490</v>
      </c>
      <c r="K50" s="7" t="n">
        <v>583490</v>
      </c>
      <c r="L50" s="7" t="n">
        <v>0</v>
      </c>
      <c r="M50" s="13" t="s">
        <v>82</v>
      </c>
      <c r="N50" s="9"/>
      <c r="O50" s="9"/>
      <c r="P50" s="18" t="s">
        <v>83</v>
      </c>
    </row>
    <row r="51" customFormat="false" ht="15" hidden="false" customHeight="false" outlineLevel="0" collapsed="false">
      <c r="A51" s="13" t="n">
        <v>47</v>
      </c>
      <c r="B51" s="13" t="s">
        <v>170</v>
      </c>
      <c r="C51" s="9" t="s">
        <v>114</v>
      </c>
      <c r="D51" s="15" t="n">
        <v>46273.0806049074</v>
      </c>
      <c r="E51" s="16" t="n">
        <v>46273</v>
      </c>
      <c r="F51" s="16" t="n">
        <v>46274</v>
      </c>
      <c r="G51" s="13" t="n">
        <v>1</v>
      </c>
      <c r="H51" s="9" t="s">
        <v>88</v>
      </c>
      <c r="I51" s="13" t="s">
        <v>76</v>
      </c>
      <c r="J51" s="7" t="n">
        <v>390307.5</v>
      </c>
      <c r="K51" s="7" t="n">
        <v>0</v>
      </c>
      <c r="L51" s="7" t="n">
        <v>390307.5</v>
      </c>
      <c r="M51" s="13"/>
      <c r="N51" s="9"/>
      <c r="O51" s="9"/>
      <c r="P51" s="17" t="s">
        <v>77</v>
      </c>
    </row>
    <row r="52" customFormat="false" ht="15" hidden="false" customHeight="false" outlineLevel="0" collapsed="false">
      <c r="A52" s="13" t="n">
        <v>48</v>
      </c>
      <c r="B52" s="13" t="s">
        <v>171</v>
      </c>
      <c r="C52" s="9" t="s">
        <v>172</v>
      </c>
      <c r="D52" s="15" t="n">
        <v>46273.6618753704</v>
      </c>
      <c r="E52" s="16" t="n">
        <v>46273</v>
      </c>
      <c r="F52" s="16" t="n">
        <v>46274</v>
      </c>
      <c r="G52" s="13" t="n">
        <v>1</v>
      </c>
      <c r="H52" s="9" t="s">
        <v>88</v>
      </c>
      <c r="I52" s="13" t="s">
        <v>76</v>
      </c>
      <c r="J52" s="7" t="n">
        <v>390307.5</v>
      </c>
      <c r="K52" s="7" t="n">
        <v>0</v>
      </c>
      <c r="L52" s="7" t="n">
        <v>390307.5</v>
      </c>
      <c r="M52" s="13"/>
      <c r="N52" s="9"/>
      <c r="O52" s="9"/>
      <c r="P52" s="17" t="s">
        <v>77</v>
      </c>
    </row>
    <row r="53" customFormat="false" ht="15" hidden="false" customHeight="false" outlineLevel="0" collapsed="false">
      <c r="A53" s="13" t="n">
        <v>49</v>
      </c>
      <c r="B53" s="13" t="s">
        <v>173</v>
      </c>
      <c r="C53" s="9" t="s">
        <v>106</v>
      </c>
      <c r="D53" s="15" t="n">
        <v>46261.9310100116</v>
      </c>
      <c r="E53" s="16" t="n">
        <v>46274</v>
      </c>
      <c r="F53" s="16" t="n">
        <v>46275</v>
      </c>
      <c r="G53" s="13" t="n">
        <v>1</v>
      </c>
      <c r="H53" s="9" t="s">
        <v>80</v>
      </c>
      <c r="I53" s="13" t="s">
        <v>81</v>
      </c>
      <c r="J53" s="7" t="n">
        <v>583490</v>
      </c>
      <c r="K53" s="7" t="n">
        <v>583490</v>
      </c>
      <c r="L53" s="7" t="n">
        <v>0</v>
      </c>
      <c r="M53" s="13" t="s">
        <v>82</v>
      </c>
      <c r="N53" s="9"/>
      <c r="O53" s="9"/>
      <c r="P53" s="18" t="s">
        <v>83</v>
      </c>
    </row>
    <row r="54" customFormat="false" ht="15" hidden="false" customHeight="false" outlineLevel="0" collapsed="false">
      <c r="A54" s="13" t="n">
        <v>50</v>
      </c>
      <c r="B54" s="13" t="s">
        <v>174</v>
      </c>
      <c r="C54" s="9" t="s">
        <v>175</v>
      </c>
      <c r="D54" s="15" t="n">
        <v>46274.4424434375</v>
      </c>
      <c r="E54" s="16" t="n">
        <v>46274</v>
      </c>
      <c r="F54" s="16" t="n">
        <v>46275</v>
      </c>
      <c r="G54" s="13" t="n">
        <v>1</v>
      </c>
      <c r="H54" s="9" t="s">
        <v>80</v>
      </c>
      <c r="I54" s="13" t="s">
        <v>76</v>
      </c>
      <c r="J54" s="7" t="n">
        <v>583490</v>
      </c>
      <c r="K54" s="7" t="n">
        <v>0</v>
      </c>
      <c r="L54" s="7" t="n">
        <v>583490</v>
      </c>
      <c r="M54" s="13"/>
      <c r="N54" s="9"/>
      <c r="O54" s="9"/>
      <c r="P54" s="17" t="s">
        <v>77</v>
      </c>
    </row>
    <row r="55" customFormat="false" ht="15" hidden="false" customHeight="false" outlineLevel="0" collapsed="false">
      <c r="A55" s="13" t="n">
        <v>51</v>
      </c>
      <c r="B55" s="13" t="s">
        <v>176</v>
      </c>
      <c r="C55" s="9" t="s">
        <v>177</v>
      </c>
      <c r="D55" s="15" t="n">
        <v>46266.0101734259</v>
      </c>
      <c r="E55" s="16" t="n">
        <v>46275</v>
      </c>
      <c r="F55" s="16" t="n">
        <v>46276</v>
      </c>
      <c r="G55" s="13" t="n">
        <v>1</v>
      </c>
      <c r="H55" s="9" t="s">
        <v>80</v>
      </c>
      <c r="I55" s="13" t="s">
        <v>76</v>
      </c>
      <c r="J55" s="7" t="n">
        <v>583490</v>
      </c>
      <c r="K55" s="7" t="n">
        <v>0</v>
      </c>
      <c r="L55" s="7" t="n">
        <v>583490</v>
      </c>
      <c r="M55" s="13"/>
      <c r="N55" s="9"/>
      <c r="O55" s="9"/>
      <c r="P55" s="17" t="s">
        <v>77</v>
      </c>
    </row>
    <row r="56" customFormat="false" ht="15" hidden="false" customHeight="false" outlineLevel="0" collapsed="false">
      <c r="A56" s="13" t="n">
        <v>52</v>
      </c>
      <c r="B56" s="13" t="s">
        <v>178</v>
      </c>
      <c r="C56" s="9" t="s">
        <v>179</v>
      </c>
      <c r="D56" s="15" t="n">
        <v>46275.9077222801</v>
      </c>
      <c r="E56" s="16" t="n">
        <v>46275</v>
      </c>
      <c r="F56" s="16" t="n">
        <v>46276</v>
      </c>
      <c r="G56" s="13" t="n">
        <v>1</v>
      </c>
      <c r="H56" s="9" t="s">
        <v>91</v>
      </c>
      <c r="I56" s="13" t="s">
        <v>76</v>
      </c>
      <c r="J56" s="7" t="n">
        <v>350882.5</v>
      </c>
      <c r="K56" s="7" t="n">
        <v>0</v>
      </c>
      <c r="L56" s="7" t="n">
        <v>350882.5</v>
      </c>
      <c r="M56" s="13"/>
      <c r="N56" s="9"/>
      <c r="O56" s="9"/>
      <c r="P56" s="17" t="s">
        <v>77</v>
      </c>
    </row>
    <row r="57" customFormat="false" ht="15" hidden="false" customHeight="false" outlineLevel="0" collapsed="false">
      <c r="A57" s="13" t="n">
        <v>53</v>
      </c>
      <c r="B57" s="13" t="s">
        <v>180</v>
      </c>
      <c r="C57" s="9" t="s">
        <v>181</v>
      </c>
      <c r="D57" s="15" t="n">
        <v>46266.9396919213</v>
      </c>
      <c r="E57" s="16" t="n">
        <v>46276</v>
      </c>
      <c r="F57" s="16" t="n">
        <v>46277</v>
      </c>
      <c r="G57" s="13" t="n">
        <v>1</v>
      </c>
      <c r="H57" s="9" t="s">
        <v>91</v>
      </c>
      <c r="I57" s="13" t="s">
        <v>76</v>
      </c>
      <c r="J57" s="7" t="n">
        <v>390307.5</v>
      </c>
      <c r="K57" s="7" t="n">
        <v>0</v>
      </c>
      <c r="L57" s="7" t="n">
        <v>390307.5</v>
      </c>
      <c r="M57" s="13"/>
      <c r="N57" s="9"/>
      <c r="O57" s="9"/>
      <c r="P57" s="17" t="s">
        <v>77</v>
      </c>
    </row>
    <row r="58" customFormat="false" ht="15" hidden="false" customHeight="false" outlineLevel="0" collapsed="false">
      <c r="A58" s="13" t="n">
        <v>54</v>
      </c>
      <c r="B58" s="13" t="s">
        <v>182</v>
      </c>
      <c r="C58" s="9" t="s">
        <v>183</v>
      </c>
      <c r="D58" s="15" t="n">
        <v>46269.7760976968</v>
      </c>
      <c r="E58" s="16" t="n">
        <v>46276</v>
      </c>
      <c r="F58" s="16" t="n">
        <v>46278</v>
      </c>
      <c r="G58" s="13" t="n">
        <v>2</v>
      </c>
      <c r="H58" s="9" t="s">
        <v>80</v>
      </c>
      <c r="I58" s="13" t="s">
        <v>76</v>
      </c>
      <c r="J58" s="7" t="n">
        <v>1419300</v>
      </c>
      <c r="K58" s="7" t="n">
        <v>0</v>
      </c>
      <c r="L58" s="7" t="n">
        <v>1419300</v>
      </c>
      <c r="M58" s="13"/>
      <c r="N58" s="9"/>
      <c r="O58" s="9"/>
      <c r="P58" s="17" t="s">
        <v>77</v>
      </c>
    </row>
    <row r="59" customFormat="false" ht="15" hidden="false" customHeight="false" outlineLevel="0" collapsed="false">
      <c r="A59" s="13" t="n">
        <v>55</v>
      </c>
      <c r="B59" s="13" t="s">
        <v>184</v>
      </c>
      <c r="C59" s="9" t="s">
        <v>185</v>
      </c>
      <c r="D59" s="15" t="n">
        <v>46276.6301176157</v>
      </c>
      <c r="E59" s="16" t="n">
        <v>46276</v>
      </c>
      <c r="F59" s="16" t="n">
        <v>46277</v>
      </c>
      <c r="G59" s="13" t="n">
        <v>1</v>
      </c>
      <c r="H59" s="9" t="s">
        <v>88</v>
      </c>
      <c r="I59" s="13" t="s">
        <v>76</v>
      </c>
      <c r="J59" s="7" t="n">
        <v>429732.5</v>
      </c>
      <c r="K59" s="7" t="n">
        <v>0</v>
      </c>
      <c r="L59" s="7" t="n">
        <v>429732.5</v>
      </c>
      <c r="M59" s="13"/>
      <c r="N59" s="9"/>
      <c r="O59" s="9"/>
      <c r="P59" s="17" t="s">
        <v>77</v>
      </c>
    </row>
    <row r="60" customFormat="false" ht="15" hidden="false" customHeight="false" outlineLevel="0" collapsed="false">
      <c r="A60" s="13" t="n">
        <v>56</v>
      </c>
      <c r="B60" s="13" t="s">
        <v>186</v>
      </c>
      <c r="C60" s="9" t="s">
        <v>187</v>
      </c>
      <c r="D60" s="15" t="n">
        <v>46276.7699914236</v>
      </c>
      <c r="E60" s="16" t="n">
        <v>46276</v>
      </c>
      <c r="F60" s="16" t="n">
        <v>46277</v>
      </c>
      <c r="G60" s="13" t="n">
        <v>1</v>
      </c>
      <c r="H60" s="9" t="s">
        <v>75</v>
      </c>
      <c r="I60" s="13" t="s">
        <v>76</v>
      </c>
      <c r="J60" s="7" t="n">
        <v>350882.5</v>
      </c>
      <c r="K60" s="7" t="n">
        <v>0</v>
      </c>
      <c r="L60" s="7" t="n">
        <v>350882.5</v>
      </c>
      <c r="M60" s="13"/>
      <c r="N60" s="9"/>
      <c r="O60" s="9"/>
      <c r="P60" s="17" t="s">
        <v>77</v>
      </c>
    </row>
    <row r="61" customFormat="false" ht="15" hidden="false" customHeight="false" outlineLevel="0" collapsed="false">
      <c r="A61" s="13" t="n">
        <v>57</v>
      </c>
      <c r="B61" s="13" t="s">
        <v>188</v>
      </c>
      <c r="C61" s="9" t="s">
        <v>189</v>
      </c>
      <c r="D61" s="15" t="n">
        <v>46276.8031670023</v>
      </c>
      <c r="E61" s="16" t="n">
        <v>46276</v>
      </c>
      <c r="F61" s="16" t="n">
        <v>46277</v>
      </c>
      <c r="G61" s="13" t="n">
        <v>1</v>
      </c>
      <c r="H61" s="9" t="s">
        <v>91</v>
      </c>
      <c r="I61" s="13" t="s">
        <v>76</v>
      </c>
      <c r="J61" s="7" t="n">
        <v>390307.5</v>
      </c>
      <c r="K61" s="7" t="n">
        <v>0</v>
      </c>
      <c r="L61" s="7" t="n">
        <v>390307.5</v>
      </c>
      <c r="M61" s="13"/>
      <c r="N61" s="9"/>
      <c r="O61" s="9"/>
      <c r="P61" s="17" t="s">
        <v>77</v>
      </c>
    </row>
    <row r="62" customFormat="false" ht="15" hidden="false" customHeight="false" outlineLevel="0" collapsed="false">
      <c r="A62" s="13" t="n">
        <v>58</v>
      </c>
      <c r="B62" s="13" t="s">
        <v>190</v>
      </c>
      <c r="C62" s="9" t="s">
        <v>191</v>
      </c>
      <c r="D62" s="15" t="n">
        <v>46264.7271169792</v>
      </c>
      <c r="E62" s="16" t="n">
        <v>46277</v>
      </c>
      <c r="F62" s="16" t="n">
        <v>46278</v>
      </c>
      <c r="G62" s="13" t="n">
        <v>1</v>
      </c>
      <c r="H62" s="9" t="s">
        <v>80</v>
      </c>
      <c r="I62" s="13" t="s">
        <v>81</v>
      </c>
      <c r="J62" s="7" t="n">
        <v>709650</v>
      </c>
      <c r="K62" s="7" t="n">
        <v>709650</v>
      </c>
      <c r="L62" s="7" t="n">
        <v>0</v>
      </c>
      <c r="M62" s="13" t="s">
        <v>82</v>
      </c>
      <c r="N62" s="9"/>
      <c r="O62" s="9"/>
      <c r="P62" s="18" t="s">
        <v>83</v>
      </c>
    </row>
    <row r="63" customFormat="false" ht="15" hidden="false" customHeight="false" outlineLevel="0" collapsed="false">
      <c r="A63" s="13" t="n">
        <v>59</v>
      </c>
      <c r="B63" s="13" t="s">
        <v>192</v>
      </c>
      <c r="C63" s="9" t="s">
        <v>193</v>
      </c>
      <c r="D63" s="15" t="n">
        <v>46272.7073636806</v>
      </c>
      <c r="E63" s="16" t="n">
        <v>46277</v>
      </c>
      <c r="F63" s="16" t="n">
        <v>46278</v>
      </c>
      <c r="G63" s="13" t="n">
        <v>1</v>
      </c>
      <c r="H63" s="9" t="s">
        <v>88</v>
      </c>
      <c r="I63" s="13" t="s">
        <v>76</v>
      </c>
      <c r="J63" s="7" t="n">
        <v>429732.5</v>
      </c>
      <c r="K63" s="7" t="n">
        <v>0</v>
      </c>
      <c r="L63" s="7" t="n">
        <v>429732.5</v>
      </c>
      <c r="M63" s="13"/>
      <c r="N63" s="9"/>
      <c r="O63" s="9"/>
      <c r="P63" s="17" t="s">
        <v>77</v>
      </c>
    </row>
    <row r="64" customFormat="false" ht="15" hidden="false" customHeight="false" outlineLevel="0" collapsed="false">
      <c r="A64" s="13" t="n">
        <v>60</v>
      </c>
      <c r="B64" s="13" t="s">
        <v>194</v>
      </c>
      <c r="C64" s="9" t="s">
        <v>195</v>
      </c>
      <c r="D64" s="15" t="n">
        <v>46273.6499123264</v>
      </c>
      <c r="E64" s="16" t="n">
        <v>46277</v>
      </c>
      <c r="F64" s="16" t="n">
        <v>46278</v>
      </c>
      <c r="G64" s="13" t="n">
        <v>1</v>
      </c>
      <c r="H64" s="9" t="s">
        <v>91</v>
      </c>
      <c r="I64" s="13" t="s">
        <v>81</v>
      </c>
      <c r="J64" s="7" t="n">
        <v>390307.5</v>
      </c>
      <c r="K64" s="7" t="n">
        <v>390307.5</v>
      </c>
      <c r="L64" s="7" t="n">
        <v>0</v>
      </c>
      <c r="M64" s="13" t="s">
        <v>82</v>
      </c>
      <c r="N64" s="9"/>
      <c r="O64" s="9"/>
      <c r="P64" s="18" t="s">
        <v>83</v>
      </c>
    </row>
    <row r="65" customFormat="false" ht="23.85" hidden="false" customHeight="false" outlineLevel="0" collapsed="false">
      <c r="A65" s="13" t="n">
        <v>61</v>
      </c>
      <c r="B65" s="13" t="s">
        <v>196</v>
      </c>
      <c r="C65" s="9" t="s">
        <v>197</v>
      </c>
      <c r="D65" s="15" t="n">
        <v>46273.6606261111</v>
      </c>
      <c r="E65" s="16" t="n">
        <v>46277</v>
      </c>
      <c r="F65" s="16" t="n">
        <v>46278</v>
      </c>
      <c r="G65" s="13" t="n">
        <v>1</v>
      </c>
      <c r="H65" s="9" t="s">
        <v>136</v>
      </c>
      <c r="I65" s="13" t="s">
        <v>81</v>
      </c>
      <c r="J65" s="7" t="n">
        <v>599260</v>
      </c>
      <c r="K65" s="7" t="n">
        <v>599260</v>
      </c>
      <c r="L65" s="7" t="n">
        <v>0</v>
      </c>
      <c r="M65" s="13" t="s">
        <v>82</v>
      </c>
      <c r="N65" s="9"/>
      <c r="O65" s="9"/>
      <c r="P65" s="18" t="s">
        <v>83</v>
      </c>
    </row>
    <row r="66" customFormat="false" ht="15" hidden="false" customHeight="false" outlineLevel="0" collapsed="false">
      <c r="A66" s="13" t="n">
        <v>62</v>
      </c>
      <c r="B66" s="13" t="s">
        <v>198</v>
      </c>
      <c r="C66" s="9" t="s">
        <v>199</v>
      </c>
      <c r="D66" s="15" t="n">
        <v>46275.9537023032</v>
      </c>
      <c r="E66" s="16" t="n">
        <v>46277</v>
      </c>
      <c r="F66" s="16" t="n">
        <v>46278</v>
      </c>
      <c r="G66" s="13" t="n">
        <v>1</v>
      </c>
      <c r="H66" s="9" t="s">
        <v>136</v>
      </c>
      <c r="I66" s="13" t="s">
        <v>76</v>
      </c>
      <c r="J66" s="7" t="n">
        <v>599260</v>
      </c>
      <c r="K66" s="7" t="n">
        <v>0</v>
      </c>
      <c r="L66" s="7" t="n">
        <v>599260</v>
      </c>
      <c r="M66" s="13"/>
      <c r="N66" s="9"/>
      <c r="O66" s="9"/>
      <c r="P66" s="17" t="s">
        <v>77</v>
      </c>
    </row>
    <row r="67" customFormat="false" ht="15" hidden="false" customHeight="false" outlineLevel="0" collapsed="false">
      <c r="A67" s="13" t="n">
        <v>63</v>
      </c>
      <c r="B67" s="13" t="s">
        <v>200</v>
      </c>
      <c r="C67" s="9" t="s">
        <v>201</v>
      </c>
      <c r="D67" s="15" t="n">
        <v>46276.2663156366</v>
      </c>
      <c r="E67" s="16" t="n">
        <v>46277</v>
      </c>
      <c r="F67" s="16" t="n">
        <v>46278</v>
      </c>
      <c r="G67" s="13" t="n">
        <v>1</v>
      </c>
      <c r="H67" s="9" t="s">
        <v>88</v>
      </c>
      <c r="I67" s="13" t="s">
        <v>76</v>
      </c>
      <c r="J67" s="7" t="n">
        <v>429732.5</v>
      </c>
      <c r="K67" s="7" t="n">
        <v>0</v>
      </c>
      <c r="L67" s="7" t="n">
        <v>429732.5</v>
      </c>
      <c r="M67" s="13"/>
      <c r="N67" s="9"/>
      <c r="O67" s="9"/>
      <c r="P67" s="17" t="s">
        <v>77</v>
      </c>
    </row>
    <row r="68" customFormat="false" ht="15" hidden="false" customHeight="false" outlineLevel="0" collapsed="false">
      <c r="A68" s="13" t="n">
        <v>64</v>
      </c>
      <c r="B68" s="13" t="s">
        <v>202</v>
      </c>
      <c r="C68" s="9" t="s">
        <v>203</v>
      </c>
      <c r="D68" s="15" t="n">
        <v>46276.3981734375</v>
      </c>
      <c r="E68" s="16" t="n">
        <v>46277</v>
      </c>
      <c r="F68" s="16" t="n">
        <v>46278</v>
      </c>
      <c r="G68" s="13" t="n">
        <v>1</v>
      </c>
      <c r="H68" s="9" t="s">
        <v>88</v>
      </c>
      <c r="I68" s="13" t="s">
        <v>76</v>
      </c>
      <c r="J68" s="7" t="n">
        <v>429732.5</v>
      </c>
      <c r="K68" s="7" t="n">
        <v>0</v>
      </c>
      <c r="L68" s="7" t="n">
        <v>429732.5</v>
      </c>
      <c r="M68" s="13"/>
      <c r="N68" s="9"/>
      <c r="O68" s="9"/>
      <c r="P68" s="17" t="s">
        <v>77</v>
      </c>
    </row>
    <row r="69" customFormat="false" ht="15" hidden="false" customHeight="false" outlineLevel="0" collapsed="false">
      <c r="A69" s="13" t="n">
        <v>65</v>
      </c>
      <c r="B69" s="13" t="s">
        <v>204</v>
      </c>
      <c r="C69" s="9" t="s">
        <v>205</v>
      </c>
      <c r="D69" s="15" t="n">
        <v>46276.6483949653</v>
      </c>
      <c r="E69" s="16" t="n">
        <v>46277</v>
      </c>
      <c r="F69" s="16" t="n">
        <v>46278</v>
      </c>
      <c r="G69" s="13" t="n">
        <v>1</v>
      </c>
      <c r="H69" s="9" t="s">
        <v>75</v>
      </c>
      <c r="I69" s="13" t="s">
        <v>76</v>
      </c>
      <c r="J69" s="7" t="n">
        <v>350882.5</v>
      </c>
      <c r="K69" s="7" t="n">
        <v>0</v>
      </c>
      <c r="L69" s="7" t="n">
        <v>350882.5</v>
      </c>
      <c r="M69" s="13"/>
      <c r="N69" s="9"/>
      <c r="O69" s="9"/>
      <c r="P69" s="17" t="s">
        <v>77</v>
      </c>
    </row>
    <row r="70" customFormat="false" ht="15" hidden="false" customHeight="false" outlineLevel="0" collapsed="false">
      <c r="A70" s="13" t="n">
        <v>66</v>
      </c>
      <c r="B70" s="13" t="s">
        <v>206</v>
      </c>
      <c r="C70" s="9" t="s">
        <v>205</v>
      </c>
      <c r="D70" s="15" t="n">
        <v>46276.6890865162</v>
      </c>
      <c r="E70" s="16" t="n">
        <v>46277</v>
      </c>
      <c r="F70" s="16" t="n">
        <v>46278</v>
      </c>
      <c r="G70" s="13" t="n">
        <v>1</v>
      </c>
      <c r="H70" s="9" t="s">
        <v>91</v>
      </c>
      <c r="I70" s="13" t="s">
        <v>76</v>
      </c>
      <c r="J70" s="7" t="n">
        <v>390307.5</v>
      </c>
      <c r="K70" s="7" t="n">
        <v>0</v>
      </c>
      <c r="L70" s="7" t="n">
        <v>390307.5</v>
      </c>
      <c r="M70" s="13"/>
      <c r="N70" s="9"/>
      <c r="O70" s="9"/>
      <c r="P70" s="17" t="s">
        <v>77</v>
      </c>
    </row>
    <row r="71" customFormat="false" ht="15" hidden="false" customHeight="false" outlineLevel="0" collapsed="false">
      <c r="A71" s="13" t="n">
        <v>67</v>
      </c>
      <c r="B71" s="13" t="s">
        <v>207</v>
      </c>
      <c r="C71" s="9" t="s">
        <v>208</v>
      </c>
      <c r="D71" s="15" t="n">
        <v>46276.725117581</v>
      </c>
      <c r="E71" s="16" t="n">
        <v>46277</v>
      </c>
      <c r="F71" s="16" t="n">
        <v>46278</v>
      </c>
      <c r="G71" s="13" t="n">
        <v>1</v>
      </c>
      <c r="H71" s="9" t="s">
        <v>91</v>
      </c>
      <c r="I71" s="13" t="s">
        <v>76</v>
      </c>
      <c r="J71" s="7" t="n">
        <v>390307.5</v>
      </c>
      <c r="K71" s="7" t="n">
        <v>0</v>
      </c>
      <c r="L71" s="7" t="n">
        <v>390307.5</v>
      </c>
      <c r="M71" s="13"/>
      <c r="N71" s="9"/>
      <c r="O71" s="9"/>
      <c r="P71" s="17" t="s">
        <v>77</v>
      </c>
    </row>
    <row r="72" customFormat="false" ht="15" hidden="false" customHeight="false" outlineLevel="0" collapsed="false">
      <c r="A72" s="13" t="n">
        <v>68</v>
      </c>
      <c r="B72" s="13" t="s">
        <v>209</v>
      </c>
      <c r="C72" s="9" t="s">
        <v>210</v>
      </c>
      <c r="D72" s="15" t="n">
        <v>46260.5263674306</v>
      </c>
      <c r="E72" s="16" t="n">
        <v>46278</v>
      </c>
      <c r="F72" s="16" t="n">
        <v>46280</v>
      </c>
      <c r="G72" s="13" t="n">
        <v>2</v>
      </c>
      <c r="H72" s="9" t="s">
        <v>80</v>
      </c>
      <c r="I72" s="13" t="s">
        <v>81</v>
      </c>
      <c r="J72" s="7" t="n">
        <v>1166980</v>
      </c>
      <c r="K72" s="7" t="n">
        <v>1166980</v>
      </c>
      <c r="L72" s="7" t="n">
        <v>0</v>
      </c>
      <c r="M72" s="13" t="s">
        <v>82</v>
      </c>
      <c r="N72" s="9"/>
      <c r="O72" s="9"/>
      <c r="P72" s="18" t="s">
        <v>83</v>
      </c>
    </row>
    <row r="73" customFormat="false" ht="15" hidden="false" customHeight="false" outlineLevel="0" collapsed="false">
      <c r="A73" s="13" t="n">
        <v>69</v>
      </c>
      <c r="B73" s="13" t="s">
        <v>211</v>
      </c>
      <c r="C73" s="9" t="s">
        <v>212</v>
      </c>
      <c r="D73" s="15" t="n">
        <v>46263.6368746412</v>
      </c>
      <c r="E73" s="16" t="n">
        <v>46278</v>
      </c>
      <c r="F73" s="16" t="n">
        <v>46280</v>
      </c>
      <c r="G73" s="13" t="n">
        <v>2</v>
      </c>
      <c r="H73" s="9" t="s">
        <v>88</v>
      </c>
      <c r="I73" s="13" t="s">
        <v>81</v>
      </c>
      <c r="J73" s="7" t="n">
        <v>780615</v>
      </c>
      <c r="K73" s="7" t="n">
        <v>780615</v>
      </c>
      <c r="L73" s="7" t="n">
        <v>0</v>
      </c>
      <c r="M73" s="13" t="s">
        <v>82</v>
      </c>
      <c r="N73" s="9"/>
      <c r="O73" s="9"/>
      <c r="P73" s="18" t="s">
        <v>83</v>
      </c>
    </row>
    <row r="74" customFormat="false" ht="15" hidden="false" customHeight="false" outlineLevel="0" collapsed="false">
      <c r="A74" s="13" t="n">
        <v>70</v>
      </c>
      <c r="B74" s="13" t="s">
        <v>213</v>
      </c>
      <c r="C74" s="9" t="s">
        <v>214</v>
      </c>
      <c r="D74" s="15" t="n">
        <v>46274.9332326736</v>
      </c>
      <c r="E74" s="16" t="n">
        <v>46278</v>
      </c>
      <c r="F74" s="16" t="n">
        <v>46279</v>
      </c>
      <c r="G74" s="13" t="n">
        <v>1</v>
      </c>
      <c r="H74" s="9" t="s">
        <v>88</v>
      </c>
      <c r="I74" s="13" t="s">
        <v>81</v>
      </c>
      <c r="J74" s="7" t="n">
        <v>390307.5</v>
      </c>
      <c r="K74" s="7" t="n">
        <v>390307.5</v>
      </c>
      <c r="L74" s="7" t="n">
        <v>0</v>
      </c>
      <c r="M74" s="13" t="s">
        <v>82</v>
      </c>
      <c r="N74" s="9"/>
      <c r="O74" s="9"/>
      <c r="P74" s="18" t="s">
        <v>83</v>
      </c>
    </row>
    <row r="75" customFormat="false" ht="15" hidden="false" customHeight="false" outlineLevel="0" collapsed="false">
      <c r="A75" s="13" t="n">
        <v>71</v>
      </c>
      <c r="B75" s="13" t="s">
        <v>215</v>
      </c>
      <c r="C75" s="9" t="s">
        <v>216</v>
      </c>
      <c r="D75" s="15" t="n">
        <v>46277.5784724537</v>
      </c>
      <c r="E75" s="16" t="n">
        <v>46278</v>
      </c>
      <c r="F75" s="16" t="n">
        <v>46279</v>
      </c>
      <c r="G75" s="13" t="n">
        <v>1</v>
      </c>
      <c r="H75" s="9" t="s">
        <v>80</v>
      </c>
      <c r="I75" s="13" t="s">
        <v>76</v>
      </c>
      <c r="J75" s="7" t="n">
        <v>583490</v>
      </c>
      <c r="K75" s="7" t="n">
        <v>0</v>
      </c>
      <c r="L75" s="7" t="n">
        <v>583490</v>
      </c>
      <c r="M75" s="13"/>
      <c r="N75" s="9"/>
      <c r="O75" s="9"/>
      <c r="P75" s="17" t="s">
        <v>77</v>
      </c>
    </row>
    <row r="76" customFormat="false" ht="15" hidden="false" customHeight="false" outlineLevel="0" collapsed="false">
      <c r="A76" s="13" t="n">
        <v>72</v>
      </c>
      <c r="B76" s="13" t="s">
        <v>217</v>
      </c>
      <c r="C76" s="9" t="s">
        <v>218</v>
      </c>
      <c r="D76" s="15" t="n">
        <v>46278.335135787</v>
      </c>
      <c r="E76" s="16" t="n">
        <v>46278</v>
      </c>
      <c r="F76" s="16" t="n">
        <v>46279</v>
      </c>
      <c r="G76" s="13" t="n">
        <v>1</v>
      </c>
      <c r="H76" s="9" t="s">
        <v>136</v>
      </c>
      <c r="I76" s="13" t="s">
        <v>76</v>
      </c>
      <c r="J76" s="7" t="n">
        <v>433675</v>
      </c>
      <c r="K76" s="7" t="n">
        <v>0</v>
      </c>
      <c r="L76" s="7" t="n">
        <v>433675</v>
      </c>
      <c r="M76" s="13"/>
      <c r="N76" s="9"/>
      <c r="O76" s="9"/>
      <c r="P76" s="17" t="s">
        <v>77</v>
      </c>
    </row>
    <row r="77" customFormat="false" ht="15" hidden="false" customHeight="false" outlineLevel="0" collapsed="false">
      <c r="A77" s="13" t="n">
        <v>73</v>
      </c>
      <c r="B77" s="13" t="s">
        <v>219</v>
      </c>
      <c r="C77" s="9" t="s">
        <v>220</v>
      </c>
      <c r="D77" s="15" t="n">
        <v>46278.8828550116</v>
      </c>
      <c r="E77" s="16" t="n">
        <v>46278</v>
      </c>
      <c r="F77" s="16" t="n">
        <v>46279</v>
      </c>
      <c r="G77" s="13" t="n">
        <v>1</v>
      </c>
      <c r="H77" s="9" t="s">
        <v>88</v>
      </c>
      <c r="I77" s="13" t="s">
        <v>76</v>
      </c>
      <c r="J77" s="7" t="n">
        <v>390307.5</v>
      </c>
      <c r="K77" s="7" t="n">
        <v>0</v>
      </c>
      <c r="L77" s="7" t="n">
        <v>390307.5</v>
      </c>
      <c r="M77" s="13"/>
      <c r="N77" s="9"/>
      <c r="O77" s="9"/>
      <c r="P77" s="17" t="s">
        <v>77</v>
      </c>
    </row>
    <row r="78" customFormat="false" ht="15" hidden="false" customHeight="false" outlineLevel="0" collapsed="false">
      <c r="A78" s="13" t="n">
        <v>74</v>
      </c>
      <c r="B78" s="13" t="s">
        <v>221</v>
      </c>
      <c r="C78" s="9" t="s">
        <v>222</v>
      </c>
      <c r="D78" s="15" t="n">
        <v>46278.9083496644</v>
      </c>
      <c r="E78" s="16" t="n">
        <v>46278</v>
      </c>
      <c r="F78" s="16" t="n">
        <v>46279</v>
      </c>
      <c r="G78" s="13" t="n">
        <v>1</v>
      </c>
      <c r="H78" s="9" t="s">
        <v>88</v>
      </c>
      <c r="I78" s="13" t="s">
        <v>76</v>
      </c>
      <c r="J78" s="7" t="n">
        <v>390307.5</v>
      </c>
      <c r="K78" s="7" t="n">
        <v>0</v>
      </c>
      <c r="L78" s="7" t="n">
        <v>390307.5</v>
      </c>
      <c r="M78" s="13"/>
      <c r="N78" s="9"/>
      <c r="O78" s="9"/>
      <c r="P78" s="17" t="s">
        <v>77</v>
      </c>
    </row>
    <row r="79" customFormat="false" ht="23.85" hidden="false" customHeight="false" outlineLevel="0" collapsed="false">
      <c r="A79" s="13" t="n">
        <v>75</v>
      </c>
      <c r="B79" s="13" t="s">
        <v>223</v>
      </c>
      <c r="C79" s="9" t="s">
        <v>224</v>
      </c>
      <c r="D79" s="15" t="n">
        <v>46275.4639978935</v>
      </c>
      <c r="E79" s="16" t="n">
        <v>46279</v>
      </c>
      <c r="F79" s="16" t="n">
        <v>46280</v>
      </c>
      <c r="G79" s="13" t="n">
        <v>1</v>
      </c>
      <c r="H79" s="9" t="s">
        <v>136</v>
      </c>
      <c r="I79" s="13" t="s">
        <v>81</v>
      </c>
      <c r="J79" s="7" t="n">
        <v>433675</v>
      </c>
      <c r="K79" s="7" t="n">
        <v>433675</v>
      </c>
      <c r="L79" s="7" t="n">
        <v>0</v>
      </c>
      <c r="M79" s="13" t="s">
        <v>82</v>
      </c>
      <c r="N79" s="9"/>
      <c r="O79" s="9"/>
      <c r="P79" s="18" t="s">
        <v>83</v>
      </c>
    </row>
    <row r="80" customFormat="false" ht="15" hidden="false" customHeight="false" outlineLevel="0" collapsed="false">
      <c r="A80" s="13" t="n">
        <v>76</v>
      </c>
      <c r="B80" s="13" t="s">
        <v>225</v>
      </c>
      <c r="C80" s="9" t="s">
        <v>226</v>
      </c>
      <c r="D80" s="15" t="n">
        <v>46278.0312609607</v>
      </c>
      <c r="E80" s="16" t="n">
        <v>46279</v>
      </c>
      <c r="F80" s="16" t="n">
        <v>46280</v>
      </c>
      <c r="G80" s="13" t="n">
        <v>1</v>
      </c>
      <c r="H80" s="9" t="s">
        <v>136</v>
      </c>
      <c r="I80" s="13" t="s">
        <v>76</v>
      </c>
      <c r="J80" s="7" t="n">
        <v>433675</v>
      </c>
      <c r="K80" s="7" t="n">
        <v>0</v>
      </c>
      <c r="L80" s="7" t="n">
        <v>433675</v>
      </c>
      <c r="M80" s="13"/>
      <c r="N80" s="9"/>
      <c r="O80" s="9"/>
      <c r="P80" s="17" t="s">
        <v>77</v>
      </c>
    </row>
    <row r="81" customFormat="false" ht="15" hidden="false" customHeight="false" outlineLevel="0" collapsed="false">
      <c r="A81" s="13" t="n">
        <v>77</v>
      </c>
      <c r="B81" s="13" t="s">
        <v>227</v>
      </c>
      <c r="C81" s="9" t="s">
        <v>228</v>
      </c>
      <c r="D81" s="15" t="n">
        <v>46278.8400857523</v>
      </c>
      <c r="E81" s="16" t="n">
        <v>46279</v>
      </c>
      <c r="F81" s="16" t="n">
        <v>46280</v>
      </c>
      <c r="G81" s="13" t="n">
        <v>1</v>
      </c>
      <c r="H81" s="9" t="s">
        <v>80</v>
      </c>
      <c r="I81" s="13" t="s">
        <v>76</v>
      </c>
      <c r="J81" s="7" t="n">
        <v>583490</v>
      </c>
      <c r="K81" s="7" t="n">
        <v>0</v>
      </c>
      <c r="L81" s="7" t="n">
        <v>583490</v>
      </c>
      <c r="M81" s="13"/>
      <c r="N81" s="9"/>
      <c r="O81" s="9"/>
      <c r="P81" s="17" t="s">
        <v>77</v>
      </c>
    </row>
    <row r="82" customFormat="false" ht="15" hidden="false" customHeight="false" outlineLevel="0" collapsed="false">
      <c r="A82" s="13" t="n">
        <v>78</v>
      </c>
      <c r="B82" s="13" t="s">
        <v>229</v>
      </c>
      <c r="C82" s="9" t="s">
        <v>230</v>
      </c>
      <c r="D82" s="15" t="n">
        <v>46279.0046046644</v>
      </c>
      <c r="E82" s="16" t="n">
        <v>46279</v>
      </c>
      <c r="F82" s="16" t="n">
        <v>46280</v>
      </c>
      <c r="G82" s="13" t="n">
        <v>1</v>
      </c>
      <c r="H82" s="9" t="s">
        <v>88</v>
      </c>
      <c r="I82" s="13" t="s">
        <v>76</v>
      </c>
      <c r="J82" s="7" t="n">
        <v>390307.5</v>
      </c>
      <c r="K82" s="7" t="n">
        <v>0</v>
      </c>
      <c r="L82" s="7" t="n">
        <v>390307.5</v>
      </c>
      <c r="M82" s="13"/>
      <c r="N82" s="9"/>
      <c r="O82" s="9"/>
      <c r="P82" s="17" t="s">
        <v>77</v>
      </c>
    </row>
    <row r="83" customFormat="false" ht="23.85" hidden="false" customHeight="false" outlineLevel="0" collapsed="false">
      <c r="A83" s="13" t="n">
        <v>79</v>
      </c>
      <c r="B83" s="13" t="s">
        <v>231</v>
      </c>
      <c r="C83" s="9" t="s">
        <v>224</v>
      </c>
      <c r="D83" s="15" t="n">
        <v>46276.9485465509</v>
      </c>
      <c r="E83" s="16" t="n">
        <v>46280</v>
      </c>
      <c r="F83" s="16" t="n">
        <v>46281</v>
      </c>
      <c r="G83" s="13" t="n">
        <v>1</v>
      </c>
      <c r="H83" s="9" t="s">
        <v>136</v>
      </c>
      <c r="I83" s="13" t="s">
        <v>76</v>
      </c>
      <c r="J83" s="7" t="n">
        <v>433675</v>
      </c>
      <c r="K83" s="7" t="n">
        <v>0</v>
      </c>
      <c r="L83" s="7" t="n">
        <v>433675</v>
      </c>
      <c r="M83" s="13"/>
      <c r="N83" s="9"/>
      <c r="O83" s="9"/>
      <c r="P83" s="17" t="s">
        <v>77</v>
      </c>
    </row>
    <row r="84" customFormat="false" ht="15" hidden="false" customHeight="false" outlineLevel="0" collapsed="false">
      <c r="A84" s="13" t="n">
        <v>80</v>
      </c>
      <c r="B84" s="13" t="s">
        <v>232</v>
      </c>
      <c r="C84" s="9" t="s">
        <v>233</v>
      </c>
      <c r="D84" s="15" t="n">
        <v>46279.3569963195</v>
      </c>
      <c r="E84" s="16" t="n">
        <v>46280</v>
      </c>
      <c r="F84" s="16" t="n">
        <v>46281</v>
      </c>
      <c r="G84" s="13" t="n">
        <v>1</v>
      </c>
      <c r="H84" s="9" t="s">
        <v>88</v>
      </c>
      <c r="I84" s="13" t="s">
        <v>76</v>
      </c>
      <c r="J84" s="7" t="n">
        <v>390307.5</v>
      </c>
      <c r="K84" s="7" t="n">
        <v>0</v>
      </c>
      <c r="L84" s="7" t="n">
        <v>390307.5</v>
      </c>
      <c r="M84" s="13"/>
      <c r="N84" s="9"/>
      <c r="O84" s="9"/>
      <c r="P84" s="17" t="s">
        <v>77</v>
      </c>
    </row>
    <row r="85" customFormat="false" ht="15" hidden="false" customHeight="false" outlineLevel="0" collapsed="false">
      <c r="A85" s="13" t="n">
        <v>81</v>
      </c>
      <c r="B85" s="13" t="s">
        <v>234</v>
      </c>
      <c r="C85" s="9" t="s">
        <v>235</v>
      </c>
      <c r="D85" s="15" t="n">
        <v>46274.9837688889</v>
      </c>
      <c r="E85" s="16" t="n">
        <v>46281</v>
      </c>
      <c r="F85" s="16" t="n">
        <v>46282</v>
      </c>
      <c r="G85" s="13" t="n">
        <v>1</v>
      </c>
      <c r="H85" s="9" t="s">
        <v>88</v>
      </c>
      <c r="I85" s="13" t="s">
        <v>81</v>
      </c>
      <c r="J85" s="7" t="n">
        <v>390307.5</v>
      </c>
      <c r="K85" s="7" t="n">
        <v>390307.5</v>
      </c>
      <c r="L85" s="7" t="n">
        <v>0</v>
      </c>
      <c r="M85" s="13" t="s">
        <v>82</v>
      </c>
      <c r="N85" s="9"/>
      <c r="O85" s="9"/>
      <c r="P85" s="18" t="s">
        <v>83</v>
      </c>
    </row>
    <row r="86" customFormat="false" ht="15" hidden="false" customHeight="false" outlineLevel="0" collapsed="false">
      <c r="A86" s="13" t="n">
        <v>82</v>
      </c>
      <c r="B86" s="13" t="s">
        <v>236</v>
      </c>
      <c r="C86" s="9" t="s">
        <v>235</v>
      </c>
      <c r="D86" s="15" t="n">
        <v>46276.4643777662</v>
      </c>
      <c r="E86" s="16" t="n">
        <v>46281</v>
      </c>
      <c r="F86" s="16" t="n">
        <v>46282</v>
      </c>
      <c r="G86" s="13" t="n">
        <v>1</v>
      </c>
      <c r="H86" s="9" t="s">
        <v>88</v>
      </c>
      <c r="I86" s="13" t="s">
        <v>76</v>
      </c>
      <c r="J86" s="7" t="n">
        <v>390307.5</v>
      </c>
      <c r="K86" s="7" t="n">
        <v>0</v>
      </c>
      <c r="L86" s="7" t="n">
        <v>390307.5</v>
      </c>
      <c r="M86" s="13"/>
      <c r="N86" s="9"/>
      <c r="O86" s="9"/>
      <c r="P86" s="17" t="s">
        <v>77</v>
      </c>
    </row>
    <row r="87" customFormat="false" ht="15" hidden="false" customHeight="false" outlineLevel="0" collapsed="false">
      <c r="A87" s="13" t="n">
        <v>83</v>
      </c>
      <c r="B87" s="13" t="s">
        <v>237</v>
      </c>
      <c r="C87" s="9" t="s">
        <v>238</v>
      </c>
      <c r="D87" s="15" t="n">
        <v>46278.5191504745</v>
      </c>
      <c r="E87" s="16" t="n">
        <v>46282</v>
      </c>
      <c r="F87" s="16" t="n">
        <v>46283</v>
      </c>
      <c r="G87" s="13" t="n">
        <v>1</v>
      </c>
      <c r="H87" s="9" t="s">
        <v>80</v>
      </c>
      <c r="I87" s="13" t="s">
        <v>76</v>
      </c>
      <c r="J87" s="7" t="n">
        <v>583490</v>
      </c>
      <c r="K87" s="7" t="n">
        <v>0</v>
      </c>
      <c r="L87" s="7" t="n">
        <v>583490</v>
      </c>
      <c r="M87" s="13"/>
      <c r="N87" s="9"/>
      <c r="O87" s="9"/>
      <c r="P87" s="17" t="s">
        <v>77</v>
      </c>
    </row>
    <row r="88" customFormat="false" ht="15" hidden="false" customHeight="false" outlineLevel="0" collapsed="false">
      <c r="A88" s="13" t="n">
        <v>84</v>
      </c>
      <c r="B88" s="13" t="s">
        <v>239</v>
      </c>
      <c r="C88" s="9" t="s">
        <v>240</v>
      </c>
      <c r="D88" s="15" t="n">
        <v>46268.944097581</v>
      </c>
      <c r="E88" s="16" t="n">
        <v>46283</v>
      </c>
      <c r="F88" s="16" t="n">
        <v>46285</v>
      </c>
      <c r="G88" s="13" t="n">
        <v>2</v>
      </c>
      <c r="H88" s="9" t="s">
        <v>88</v>
      </c>
      <c r="I88" s="13" t="s">
        <v>76</v>
      </c>
      <c r="J88" s="7" t="n">
        <v>859465</v>
      </c>
      <c r="K88" s="7" t="n">
        <v>0</v>
      </c>
      <c r="L88" s="7" t="n">
        <v>859465</v>
      </c>
      <c r="M88" s="13"/>
      <c r="N88" s="9"/>
      <c r="O88" s="9"/>
      <c r="P88" s="17" t="s">
        <v>77</v>
      </c>
    </row>
    <row r="89" customFormat="false" ht="15" hidden="false" customHeight="false" outlineLevel="0" collapsed="false">
      <c r="A89" s="13" t="n">
        <v>85</v>
      </c>
      <c r="B89" s="13" t="s">
        <v>241</v>
      </c>
      <c r="C89" s="9" t="s">
        <v>242</v>
      </c>
      <c r="D89" s="15" t="n">
        <v>46278.0689221296</v>
      </c>
      <c r="E89" s="16" t="n">
        <v>46283</v>
      </c>
      <c r="F89" s="16" t="n">
        <v>46284</v>
      </c>
      <c r="G89" s="13" t="n">
        <v>1</v>
      </c>
      <c r="H89" s="9" t="s">
        <v>88</v>
      </c>
      <c r="I89" s="13" t="s">
        <v>76</v>
      </c>
      <c r="J89" s="7" t="n">
        <v>429732.5</v>
      </c>
      <c r="K89" s="7" t="n">
        <v>0</v>
      </c>
      <c r="L89" s="7" t="n">
        <v>429732.5</v>
      </c>
      <c r="M89" s="13"/>
      <c r="N89" s="9"/>
      <c r="O89" s="9"/>
      <c r="P89" s="17" t="s">
        <v>77</v>
      </c>
    </row>
    <row r="90" customFormat="false" ht="15" hidden="false" customHeight="false" outlineLevel="0" collapsed="false">
      <c r="A90" s="13" t="n">
        <v>86</v>
      </c>
      <c r="B90" s="13" t="s">
        <v>243</v>
      </c>
      <c r="C90" s="9" t="s">
        <v>244</v>
      </c>
      <c r="D90" s="15" t="n">
        <v>46278.6896010648</v>
      </c>
      <c r="E90" s="16" t="n">
        <v>46283</v>
      </c>
      <c r="F90" s="16" t="n">
        <v>46285</v>
      </c>
      <c r="G90" s="13" t="n">
        <v>2</v>
      </c>
      <c r="H90" s="9" t="s">
        <v>88</v>
      </c>
      <c r="I90" s="13" t="s">
        <v>81</v>
      </c>
      <c r="J90" s="7" t="n">
        <v>859465</v>
      </c>
      <c r="K90" s="7" t="n">
        <v>859465</v>
      </c>
      <c r="L90" s="7" t="n">
        <v>0</v>
      </c>
      <c r="M90" s="13" t="s">
        <v>82</v>
      </c>
      <c r="N90" s="9"/>
      <c r="O90" s="9"/>
      <c r="P90" s="18" t="s">
        <v>83</v>
      </c>
    </row>
    <row r="91" customFormat="false" ht="15" hidden="false" customHeight="false" outlineLevel="0" collapsed="false">
      <c r="A91" s="13" t="n">
        <v>87</v>
      </c>
      <c r="B91" s="13" t="s">
        <v>245</v>
      </c>
      <c r="C91" s="9" t="s">
        <v>246</v>
      </c>
      <c r="D91" s="15" t="n">
        <v>46261.5930273958</v>
      </c>
      <c r="E91" s="16" t="n">
        <v>46284</v>
      </c>
      <c r="F91" s="16" t="n">
        <v>46285</v>
      </c>
      <c r="G91" s="13" t="n">
        <v>1</v>
      </c>
      <c r="H91" s="9" t="s">
        <v>80</v>
      </c>
      <c r="I91" s="13" t="s">
        <v>81</v>
      </c>
      <c r="J91" s="7" t="n">
        <v>709650</v>
      </c>
      <c r="K91" s="7" t="n">
        <v>709650</v>
      </c>
      <c r="L91" s="7" t="n">
        <v>0</v>
      </c>
      <c r="M91" s="13" t="s">
        <v>82</v>
      </c>
      <c r="N91" s="9"/>
      <c r="O91" s="9"/>
      <c r="P91" s="18" t="s">
        <v>83</v>
      </c>
    </row>
    <row r="92" customFormat="false" ht="15" hidden="false" customHeight="false" outlineLevel="0" collapsed="false">
      <c r="A92" s="13" t="n">
        <v>88</v>
      </c>
      <c r="B92" s="13" t="s">
        <v>247</v>
      </c>
      <c r="C92" s="9" t="s">
        <v>248</v>
      </c>
      <c r="D92" s="15" t="n">
        <v>46278.8626864236</v>
      </c>
      <c r="E92" s="16" t="n">
        <v>46284</v>
      </c>
      <c r="F92" s="16" t="n">
        <v>46285</v>
      </c>
      <c r="G92" s="13" t="n">
        <v>1</v>
      </c>
      <c r="H92" s="9" t="s">
        <v>136</v>
      </c>
      <c r="I92" s="13" t="s">
        <v>81</v>
      </c>
      <c r="J92" s="7" t="n">
        <v>599260</v>
      </c>
      <c r="K92" s="7" t="n">
        <v>599260</v>
      </c>
      <c r="L92" s="7" t="n">
        <v>0</v>
      </c>
      <c r="M92" s="13" t="s">
        <v>82</v>
      </c>
      <c r="N92" s="9"/>
      <c r="O92" s="9"/>
      <c r="P92" s="18" t="s">
        <v>83</v>
      </c>
    </row>
    <row r="93" customFormat="false" ht="15" hidden="false" customHeight="false" outlineLevel="0" collapsed="false">
      <c r="A93" s="13" t="n">
        <v>89</v>
      </c>
      <c r="B93" s="13" t="s">
        <v>249</v>
      </c>
      <c r="C93" s="9" t="s">
        <v>248</v>
      </c>
      <c r="D93" s="15" t="n">
        <v>46278.9019392014</v>
      </c>
      <c r="E93" s="16" t="n">
        <v>46284</v>
      </c>
      <c r="F93" s="16" t="n">
        <v>46285</v>
      </c>
      <c r="G93" s="13" t="n">
        <v>1</v>
      </c>
      <c r="H93" s="9" t="s">
        <v>88</v>
      </c>
      <c r="I93" s="13" t="s">
        <v>76</v>
      </c>
      <c r="J93" s="7" t="n">
        <v>429732.5</v>
      </c>
      <c r="K93" s="7" t="n">
        <v>0</v>
      </c>
      <c r="L93" s="7" t="n">
        <v>429732.5</v>
      </c>
      <c r="M93" s="13"/>
      <c r="N93" s="9"/>
      <c r="O93" s="9"/>
      <c r="P93" s="17" t="s">
        <v>77</v>
      </c>
    </row>
    <row r="94" customFormat="false" ht="15" hidden="false" customHeight="false" outlineLevel="0" collapsed="false">
      <c r="A94" s="13" t="n">
        <v>90</v>
      </c>
      <c r="B94" s="13" t="s">
        <v>250</v>
      </c>
      <c r="C94" s="9" t="s">
        <v>210</v>
      </c>
      <c r="D94" s="15" t="n">
        <v>46276.8496957292</v>
      </c>
      <c r="E94" s="16" t="n">
        <v>46285</v>
      </c>
      <c r="F94" s="16" t="n">
        <v>46287</v>
      </c>
      <c r="G94" s="13" t="n">
        <v>2</v>
      </c>
      <c r="H94" s="9" t="s">
        <v>80</v>
      </c>
      <c r="I94" s="13" t="s">
        <v>76</v>
      </c>
      <c r="J94" s="7" t="n">
        <v>1166980</v>
      </c>
      <c r="K94" s="7" t="n">
        <v>0</v>
      </c>
      <c r="L94" s="7" t="n">
        <v>1166980</v>
      </c>
      <c r="M94" s="13"/>
      <c r="N94" s="16" t="n">
        <v>46287</v>
      </c>
      <c r="O94" s="7" t="n">
        <v>1166980</v>
      </c>
      <c r="P94" s="19" t="s">
        <v>251</v>
      </c>
    </row>
    <row r="95" customFormat="false" ht="15" hidden="false" customHeight="false" outlineLevel="0" collapsed="false">
      <c r="A95" s="13" t="n">
        <v>91</v>
      </c>
      <c r="B95" s="13" t="s">
        <v>252</v>
      </c>
      <c r="C95" s="9" t="s">
        <v>253</v>
      </c>
      <c r="D95" s="15" t="n">
        <v>46278.5577100463</v>
      </c>
      <c r="E95" s="16" t="n">
        <v>46287</v>
      </c>
      <c r="F95" s="16" t="n">
        <v>46288</v>
      </c>
      <c r="G95" s="13" t="n">
        <v>1</v>
      </c>
      <c r="H95" s="9" t="s">
        <v>80</v>
      </c>
      <c r="I95" s="13" t="s">
        <v>81</v>
      </c>
      <c r="J95" s="7" t="n">
        <v>583490</v>
      </c>
      <c r="K95" s="7" t="n">
        <v>583490</v>
      </c>
      <c r="L95" s="7" t="n">
        <v>0</v>
      </c>
      <c r="M95" s="13" t="s">
        <v>82</v>
      </c>
      <c r="N95" s="9"/>
      <c r="O95" s="9"/>
      <c r="P95" s="18" t="s">
        <v>83</v>
      </c>
    </row>
    <row r="96" customFormat="false" ht="15" hidden="false" customHeight="false" outlineLevel="0" collapsed="false">
      <c r="A96" s="13" t="n">
        <v>92</v>
      </c>
      <c r="B96" s="13" t="s">
        <v>254</v>
      </c>
      <c r="C96" s="9" t="s">
        <v>255</v>
      </c>
      <c r="D96" s="15" t="n">
        <v>46287.8351477778</v>
      </c>
      <c r="E96" s="16" t="n">
        <v>46287</v>
      </c>
      <c r="F96" s="16" t="n">
        <v>46288</v>
      </c>
      <c r="G96" s="13" t="n">
        <v>1</v>
      </c>
      <c r="H96" s="9" t="s">
        <v>88</v>
      </c>
      <c r="I96" s="13" t="s">
        <v>76</v>
      </c>
      <c r="J96" s="7" t="n">
        <v>390307.5</v>
      </c>
      <c r="K96" s="7" t="n">
        <v>0</v>
      </c>
      <c r="L96" s="7" t="n">
        <v>390307.5</v>
      </c>
      <c r="M96" s="13"/>
      <c r="N96" s="16" t="n">
        <v>46288</v>
      </c>
      <c r="O96" s="7" t="n">
        <v>390308</v>
      </c>
      <c r="P96" s="19" t="s">
        <v>251</v>
      </c>
    </row>
    <row r="97" customFormat="false" ht="15" hidden="false" customHeight="false" outlineLevel="0" collapsed="false">
      <c r="A97" s="13" t="n">
        <v>93</v>
      </c>
      <c r="B97" s="13" t="s">
        <v>256</v>
      </c>
      <c r="C97" s="9" t="s">
        <v>257</v>
      </c>
      <c r="D97" s="15" t="n">
        <v>46288.6291872917</v>
      </c>
      <c r="E97" s="16" t="n">
        <v>46288</v>
      </c>
      <c r="F97" s="16" t="n">
        <v>46289</v>
      </c>
      <c r="G97" s="13" t="n">
        <v>1</v>
      </c>
      <c r="H97" s="9" t="s">
        <v>136</v>
      </c>
      <c r="I97" s="13" t="s">
        <v>76</v>
      </c>
      <c r="J97" s="7" t="n">
        <v>433675</v>
      </c>
      <c r="K97" s="7" t="n">
        <v>0</v>
      </c>
      <c r="L97" s="7" t="n">
        <v>433675</v>
      </c>
      <c r="M97" s="13"/>
      <c r="N97" s="16" t="n">
        <v>46289</v>
      </c>
      <c r="O97" s="7" t="n">
        <v>433675</v>
      </c>
      <c r="P97" s="19" t="s">
        <v>251</v>
      </c>
    </row>
    <row r="98" customFormat="false" ht="15" hidden="false" customHeight="false" outlineLevel="0" collapsed="false">
      <c r="A98" s="13" t="n">
        <v>94</v>
      </c>
      <c r="B98" s="13" t="s">
        <v>258</v>
      </c>
      <c r="C98" s="9" t="s">
        <v>259</v>
      </c>
      <c r="D98" s="15" t="n">
        <v>46266.5747958565</v>
      </c>
      <c r="E98" s="16" t="n">
        <v>46290</v>
      </c>
      <c r="F98" s="16" t="n">
        <v>46291</v>
      </c>
      <c r="G98" s="13" t="n">
        <v>1</v>
      </c>
      <c r="H98" s="9" t="s">
        <v>80</v>
      </c>
      <c r="I98" s="13" t="s">
        <v>81</v>
      </c>
      <c r="J98" s="7" t="n">
        <v>709650</v>
      </c>
      <c r="K98" s="7" t="n">
        <v>709650</v>
      </c>
      <c r="L98" s="7" t="n">
        <v>0</v>
      </c>
      <c r="M98" s="13" t="s">
        <v>82</v>
      </c>
      <c r="N98" s="9"/>
      <c r="O98" s="9"/>
      <c r="P98" s="18" t="s">
        <v>83</v>
      </c>
    </row>
    <row r="99" customFormat="false" ht="15" hidden="false" customHeight="false" outlineLevel="0" collapsed="false">
      <c r="A99" s="13" t="n">
        <v>95</v>
      </c>
      <c r="B99" s="13" t="s">
        <v>260</v>
      </c>
      <c r="C99" s="9" t="s">
        <v>261</v>
      </c>
      <c r="D99" s="15" t="n">
        <v>46289.6999263889</v>
      </c>
      <c r="E99" s="16" t="n">
        <v>46290</v>
      </c>
      <c r="F99" s="16" t="n">
        <v>46291</v>
      </c>
      <c r="G99" s="13" t="n">
        <v>1</v>
      </c>
      <c r="H99" s="9" t="s">
        <v>80</v>
      </c>
      <c r="I99" s="13" t="s">
        <v>76</v>
      </c>
      <c r="J99" s="7" t="n">
        <v>709650</v>
      </c>
      <c r="K99" s="7" t="n">
        <v>0</v>
      </c>
      <c r="L99" s="7" t="n">
        <v>709650</v>
      </c>
      <c r="M99" s="13"/>
      <c r="N99" s="16" t="n">
        <v>46293</v>
      </c>
      <c r="O99" s="7" t="n">
        <v>709650</v>
      </c>
      <c r="P99" s="19" t="s">
        <v>251</v>
      </c>
    </row>
    <row r="100" customFormat="false" ht="15" hidden="false" customHeight="false" outlineLevel="0" collapsed="false">
      <c r="A100" s="13" t="n">
        <v>96</v>
      </c>
      <c r="B100" s="13" t="s">
        <v>262</v>
      </c>
      <c r="C100" s="9" t="s">
        <v>263</v>
      </c>
      <c r="D100" s="15" t="n">
        <v>46289.7818859259</v>
      </c>
      <c r="E100" s="16" t="n">
        <v>46290</v>
      </c>
      <c r="F100" s="16" t="n">
        <v>46291</v>
      </c>
      <c r="G100" s="13" t="n">
        <v>1</v>
      </c>
      <c r="H100" s="9" t="s">
        <v>75</v>
      </c>
      <c r="I100" s="13" t="s">
        <v>76</v>
      </c>
      <c r="J100" s="7" t="n">
        <v>350882.5</v>
      </c>
      <c r="K100" s="7" t="n">
        <v>0</v>
      </c>
      <c r="L100" s="7" t="n">
        <v>350882.5</v>
      </c>
      <c r="M100" s="13"/>
      <c r="N100" s="16" t="n">
        <v>46293</v>
      </c>
      <c r="O100" s="7" t="n">
        <v>350883</v>
      </c>
      <c r="P100" s="19" t="s">
        <v>251</v>
      </c>
    </row>
    <row r="101" customFormat="false" ht="15" hidden="false" customHeight="false" outlineLevel="0" collapsed="false">
      <c r="A101" s="13" t="n">
        <v>97</v>
      </c>
      <c r="B101" s="13" t="s">
        <v>264</v>
      </c>
      <c r="C101" s="9" t="s">
        <v>265</v>
      </c>
      <c r="D101" s="15" t="n">
        <v>46290.4080971759</v>
      </c>
      <c r="E101" s="16" t="n">
        <v>46290</v>
      </c>
      <c r="F101" s="16" t="n">
        <v>46291</v>
      </c>
      <c r="G101" s="13" t="n">
        <v>1</v>
      </c>
      <c r="H101" s="9" t="s">
        <v>88</v>
      </c>
      <c r="I101" s="13" t="s">
        <v>76</v>
      </c>
      <c r="J101" s="7" t="n">
        <v>429732.5</v>
      </c>
      <c r="K101" s="7" t="n">
        <v>0</v>
      </c>
      <c r="L101" s="7" t="n">
        <v>429732.5</v>
      </c>
      <c r="M101" s="13"/>
      <c r="N101" s="16" t="n">
        <v>46293</v>
      </c>
      <c r="O101" s="7" t="n">
        <v>429733</v>
      </c>
      <c r="P101" s="19" t="s">
        <v>251</v>
      </c>
    </row>
    <row r="102" customFormat="false" ht="15" hidden="false" customHeight="false" outlineLevel="0" collapsed="false">
      <c r="A102" s="13" t="n">
        <v>98</v>
      </c>
      <c r="B102" s="13" t="s">
        <v>266</v>
      </c>
      <c r="C102" s="9" t="s">
        <v>267</v>
      </c>
      <c r="D102" s="15" t="n">
        <v>46290.5873472338</v>
      </c>
      <c r="E102" s="16" t="n">
        <v>46290</v>
      </c>
      <c r="F102" s="16" t="n">
        <v>46291</v>
      </c>
      <c r="G102" s="13" t="n">
        <v>1</v>
      </c>
      <c r="H102" s="9" t="s">
        <v>88</v>
      </c>
      <c r="I102" s="13" t="s">
        <v>76</v>
      </c>
      <c r="J102" s="7" t="n">
        <v>429732.5</v>
      </c>
      <c r="K102" s="7" t="n">
        <v>0</v>
      </c>
      <c r="L102" s="7" t="n">
        <v>429732.5</v>
      </c>
      <c r="M102" s="13"/>
      <c r="N102" s="16" t="n">
        <v>46293</v>
      </c>
      <c r="O102" s="7" t="n">
        <v>429733</v>
      </c>
      <c r="P102" s="19" t="s">
        <v>251</v>
      </c>
    </row>
    <row r="103" customFormat="false" ht="15" hidden="false" customHeight="false" outlineLevel="0" collapsed="false">
      <c r="A103" s="13" t="n">
        <v>99</v>
      </c>
      <c r="B103" s="13" t="s">
        <v>268</v>
      </c>
      <c r="C103" s="9" t="s">
        <v>79</v>
      </c>
      <c r="D103" s="15" t="n">
        <v>46254.1522446991</v>
      </c>
      <c r="E103" s="16" t="n">
        <v>46291</v>
      </c>
      <c r="F103" s="16" t="n">
        <v>46292</v>
      </c>
      <c r="G103" s="13" t="n">
        <v>1</v>
      </c>
      <c r="H103" s="9" t="s">
        <v>80</v>
      </c>
      <c r="I103" s="13" t="s">
        <v>81</v>
      </c>
      <c r="J103" s="7" t="n">
        <v>709650</v>
      </c>
      <c r="K103" s="7" t="n">
        <v>709650</v>
      </c>
      <c r="L103" s="7" t="n">
        <v>0</v>
      </c>
      <c r="M103" s="13" t="s">
        <v>82</v>
      </c>
      <c r="N103" s="9"/>
      <c r="O103" s="9"/>
      <c r="P103" s="18" t="s">
        <v>83</v>
      </c>
    </row>
    <row r="104" customFormat="false" ht="15" hidden="false" customHeight="false" outlineLevel="0" collapsed="false">
      <c r="A104" s="13" t="n">
        <v>100</v>
      </c>
      <c r="B104" s="13" t="s">
        <v>269</v>
      </c>
      <c r="C104" s="9" t="s">
        <v>270</v>
      </c>
      <c r="D104" s="15" t="n">
        <v>46278.6737425</v>
      </c>
      <c r="E104" s="16" t="n">
        <v>46291</v>
      </c>
      <c r="F104" s="16" t="n">
        <v>46292</v>
      </c>
      <c r="G104" s="13" t="n">
        <v>1</v>
      </c>
      <c r="H104" s="9" t="s">
        <v>88</v>
      </c>
      <c r="I104" s="13" t="s">
        <v>76</v>
      </c>
      <c r="J104" s="7" t="n">
        <v>429732.5</v>
      </c>
      <c r="K104" s="7" t="n">
        <v>0</v>
      </c>
      <c r="L104" s="7" t="n">
        <v>429732.5</v>
      </c>
      <c r="M104" s="13"/>
      <c r="N104" s="16" t="n">
        <v>46293</v>
      </c>
      <c r="O104" s="7" t="n">
        <v>429733</v>
      </c>
      <c r="P104" s="19" t="s">
        <v>251</v>
      </c>
    </row>
    <row r="105" customFormat="false" ht="15" hidden="false" customHeight="false" outlineLevel="0" collapsed="false">
      <c r="A105" s="13" t="n">
        <v>101</v>
      </c>
      <c r="B105" s="13" t="s">
        <v>271</v>
      </c>
      <c r="C105" s="9" t="s">
        <v>272</v>
      </c>
      <c r="D105" s="15" t="n">
        <v>46288.7400536574</v>
      </c>
      <c r="E105" s="16" t="n">
        <v>46291</v>
      </c>
      <c r="F105" s="16" t="n">
        <v>46292</v>
      </c>
      <c r="G105" s="13" t="n">
        <v>1</v>
      </c>
      <c r="H105" s="9" t="s">
        <v>136</v>
      </c>
      <c r="I105" s="13" t="s">
        <v>76</v>
      </c>
      <c r="J105" s="7" t="n">
        <v>599260</v>
      </c>
      <c r="K105" s="7" t="n">
        <v>0</v>
      </c>
      <c r="L105" s="7" t="n">
        <v>599260</v>
      </c>
      <c r="M105" s="13"/>
      <c r="N105" s="16" t="n">
        <v>46293</v>
      </c>
      <c r="O105" s="7" t="n">
        <v>599260</v>
      </c>
      <c r="P105" s="19" t="s">
        <v>251</v>
      </c>
    </row>
    <row r="106" customFormat="false" ht="15" hidden="false" customHeight="false" outlineLevel="0" collapsed="false">
      <c r="A106" s="13" t="n">
        <v>102</v>
      </c>
      <c r="B106" s="13" t="s">
        <v>273</v>
      </c>
      <c r="C106" s="9" t="s">
        <v>274</v>
      </c>
      <c r="D106" s="15" t="n">
        <v>46289.4490908681</v>
      </c>
      <c r="E106" s="16" t="n">
        <v>46291</v>
      </c>
      <c r="F106" s="16" t="n">
        <v>46292</v>
      </c>
      <c r="G106" s="13" t="n">
        <v>1</v>
      </c>
      <c r="H106" s="9" t="s">
        <v>91</v>
      </c>
      <c r="I106" s="13" t="s">
        <v>76</v>
      </c>
      <c r="J106" s="7" t="n">
        <v>390307.5</v>
      </c>
      <c r="K106" s="7" t="n">
        <v>0</v>
      </c>
      <c r="L106" s="7" t="n">
        <v>390307.5</v>
      </c>
      <c r="M106" s="13"/>
      <c r="N106" s="16" t="n">
        <v>46293</v>
      </c>
      <c r="O106" s="7" t="n">
        <v>390308</v>
      </c>
      <c r="P106" s="19" t="s">
        <v>251</v>
      </c>
    </row>
    <row r="107" customFormat="false" ht="15" hidden="false" customHeight="false" outlineLevel="0" collapsed="false">
      <c r="A107" s="13" t="n">
        <v>103</v>
      </c>
      <c r="B107" s="13" t="s">
        <v>275</v>
      </c>
      <c r="C107" s="9" t="s">
        <v>276</v>
      </c>
      <c r="D107" s="15" t="n">
        <v>46289.4599540625</v>
      </c>
      <c r="E107" s="16" t="n">
        <v>46291</v>
      </c>
      <c r="F107" s="16" t="n">
        <v>46292</v>
      </c>
      <c r="G107" s="13" t="n">
        <v>1</v>
      </c>
      <c r="H107" s="9" t="s">
        <v>80</v>
      </c>
      <c r="I107" s="13" t="s">
        <v>76</v>
      </c>
      <c r="J107" s="7" t="n">
        <v>709650</v>
      </c>
      <c r="K107" s="7" t="n">
        <v>0</v>
      </c>
      <c r="L107" s="7" t="n">
        <v>709650</v>
      </c>
      <c r="M107" s="13"/>
      <c r="N107" s="16" t="n">
        <v>46293</v>
      </c>
      <c r="O107" s="7" t="n">
        <v>709650</v>
      </c>
      <c r="P107" s="19" t="s">
        <v>251</v>
      </c>
    </row>
    <row r="108" customFormat="false" ht="15" hidden="false" customHeight="false" outlineLevel="0" collapsed="false">
      <c r="A108" s="13" t="n">
        <v>104</v>
      </c>
      <c r="B108" s="13" t="s">
        <v>277</v>
      </c>
      <c r="C108" s="9" t="s">
        <v>278</v>
      </c>
      <c r="D108" s="15" t="n">
        <v>46290.6162073264</v>
      </c>
      <c r="E108" s="16" t="n">
        <v>46291</v>
      </c>
      <c r="F108" s="16" t="n">
        <v>46292</v>
      </c>
      <c r="G108" s="13" t="n">
        <v>1</v>
      </c>
      <c r="H108" s="9" t="s">
        <v>75</v>
      </c>
      <c r="I108" s="13" t="s">
        <v>76</v>
      </c>
      <c r="J108" s="7" t="n">
        <v>350882.5</v>
      </c>
      <c r="K108" s="7" t="n">
        <v>0</v>
      </c>
      <c r="L108" s="7" t="n">
        <v>350882.5</v>
      </c>
      <c r="M108" s="13"/>
      <c r="N108" s="16" t="n">
        <v>46293</v>
      </c>
      <c r="O108" s="7" t="n">
        <v>350883</v>
      </c>
      <c r="P108" s="19" t="s">
        <v>251</v>
      </c>
    </row>
    <row r="109" customFormat="false" ht="15" hidden="false" customHeight="false" outlineLevel="0" collapsed="false">
      <c r="A109" s="13" t="n">
        <v>105</v>
      </c>
      <c r="B109" s="13" t="s">
        <v>279</v>
      </c>
      <c r="C109" s="9" t="s">
        <v>280</v>
      </c>
      <c r="D109" s="15" t="n">
        <v>46290.7905946181</v>
      </c>
      <c r="E109" s="16" t="n">
        <v>46291</v>
      </c>
      <c r="F109" s="16" t="n">
        <v>46292</v>
      </c>
      <c r="G109" s="13" t="n">
        <v>1</v>
      </c>
      <c r="H109" s="9" t="s">
        <v>80</v>
      </c>
      <c r="I109" s="13" t="s">
        <v>76</v>
      </c>
      <c r="J109" s="7" t="n">
        <v>709650</v>
      </c>
      <c r="K109" s="7" t="n">
        <v>0</v>
      </c>
      <c r="L109" s="7" t="n">
        <v>709650</v>
      </c>
      <c r="M109" s="13"/>
      <c r="N109" s="16" t="n">
        <v>46293</v>
      </c>
      <c r="O109" s="7" t="n">
        <v>709650</v>
      </c>
      <c r="P109" s="19" t="s">
        <v>251</v>
      </c>
    </row>
    <row r="110" customFormat="false" ht="15" hidden="false" customHeight="false" outlineLevel="0" collapsed="false">
      <c r="A110" s="13" t="n">
        <v>106</v>
      </c>
      <c r="B110" s="13" t="s">
        <v>281</v>
      </c>
      <c r="C110" s="9" t="s">
        <v>282</v>
      </c>
      <c r="D110" s="15" t="n">
        <v>46290.92870625</v>
      </c>
      <c r="E110" s="16" t="n">
        <v>46291</v>
      </c>
      <c r="F110" s="16" t="n">
        <v>46292</v>
      </c>
      <c r="G110" s="13" t="n">
        <v>1</v>
      </c>
      <c r="H110" s="9" t="s">
        <v>88</v>
      </c>
      <c r="I110" s="13" t="s">
        <v>76</v>
      </c>
      <c r="J110" s="7" t="n">
        <v>429732.5</v>
      </c>
      <c r="K110" s="7" t="n">
        <v>0</v>
      </c>
      <c r="L110" s="7" t="n">
        <v>429732.5</v>
      </c>
      <c r="M110" s="13"/>
      <c r="N110" s="16" t="n">
        <v>46293</v>
      </c>
      <c r="O110" s="7" t="n">
        <v>429733</v>
      </c>
      <c r="P110" s="19" t="s">
        <v>251</v>
      </c>
    </row>
    <row r="111" customFormat="false" ht="15" hidden="false" customHeight="false" outlineLevel="0" collapsed="false">
      <c r="A111" s="13" t="n">
        <v>107</v>
      </c>
      <c r="B111" s="13" t="s">
        <v>283</v>
      </c>
      <c r="C111" s="9" t="s">
        <v>284</v>
      </c>
      <c r="D111" s="15" t="n">
        <v>46290.960618669</v>
      </c>
      <c r="E111" s="16" t="n">
        <v>46291</v>
      </c>
      <c r="F111" s="16" t="n">
        <v>46292</v>
      </c>
      <c r="G111" s="13" t="n">
        <v>1</v>
      </c>
      <c r="H111" s="9" t="s">
        <v>88</v>
      </c>
      <c r="I111" s="13" t="s">
        <v>76</v>
      </c>
      <c r="J111" s="7" t="n">
        <v>429732.5</v>
      </c>
      <c r="K111" s="7" t="n">
        <v>0</v>
      </c>
      <c r="L111" s="7" t="n">
        <v>429732.5</v>
      </c>
      <c r="M111" s="13"/>
      <c r="N111" s="16" t="n">
        <v>46293</v>
      </c>
      <c r="O111" s="7" t="n">
        <v>429733</v>
      </c>
      <c r="P111" s="19" t="s">
        <v>251</v>
      </c>
    </row>
    <row r="112" customFormat="false" ht="15" hidden="false" customHeight="false" outlineLevel="0" collapsed="false">
      <c r="A112" s="13" t="n">
        <v>108</v>
      </c>
      <c r="B112" s="13" t="s">
        <v>285</v>
      </c>
      <c r="C112" s="9" t="s">
        <v>286</v>
      </c>
      <c r="D112" s="15" t="n">
        <v>46291.0331522454</v>
      </c>
      <c r="E112" s="16" t="n">
        <v>46291</v>
      </c>
      <c r="F112" s="16" t="n">
        <v>46292</v>
      </c>
      <c r="G112" s="13" t="n">
        <v>1</v>
      </c>
      <c r="H112" s="9" t="s">
        <v>136</v>
      </c>
      <c r="I112" s="13" t="s">
        <v>76</v>
      </c>
      <c r="J112" s="7" t="n">
        <v>599260</v>
      </c>
      <c r="K112" s="7" t="n">
        <v>0</v>
      </c>
      <c r="L112" s="7" t="n">
        <v>599260</v>
      </c>
      <c r="M112" s="13"/>
      <c r="N112" s="16" t="n">
        <v>46293</v>
      </c>
      <c r="O112" s="7" t="n">
        <v>599260</v>
      </c>
      <c r="P112" s="19" t="s">
        <v>251</v>
      </c>
    </row>
    <row r="113" customFormat="false" ht="15" hidden="false" customHeight="false" outlineLevel="0" collapsed="false">
      <c r="A113" s="13" t="n">
        <v>109</v>
      </c>
      <c r="B113" s="13" t="s">
        <v>287</v>
      </c>
      <c r="C113" s="9" t="s">
        <v>288</v>
      </c>
      <c r="D113" s="15" t="n">
        <v>46291.073344919</v>
      </c>
      <c r="E113" s="16" t="n">
        <v>46291</v>
      </c>
      <c r="F113" s="16" t="n">
        <v>46292</v>
      </c>
      <c r="G113" s="13" t="n">
        <v>1</v>
      </c>
      <c r="H113" s="9" t="s">
        <v>91</v>
      </c>
      <c r="I113" s="13" t="s">
        <v>76</v>
      </c>
      <c r="J113" s="7" t="n">
        <v>390307.5</v>
      </c>
      <c r="K113" s="7" t="n">
        <v>0</v>
      </c>
      <c r="L113" s="7" t="n">
        <v>390307.5</v>
      </c>
      <c r="M113" s="13"/>
      <c r="N113" s="16" t="n">
        <v>46293</v>
      </c>
      <c r="O113" s="7" t="n">
        <v>390308</v>
      </c>
      <c r="P113" s="19" t="s">
        <v>251</v>
      </c>
    </row>
    <row r="114" customFormat="false" ht="15" hidden="false" customHeight="false" outlineLevel="0" collapsed="false">
      <c r="A114" s="13" t="n">
        <v>110</v>
      </c>
      <c r="B114" s="13" t="s">
        <v>289</v>
      </c>
      <c r="C114" s="9" t="s">
        <v>290</v>
      </c>
      <c r="D114" s="15" t="n">
        <v>46264.2125136921</v>
      </c>
      <c r="E114" s="16" t="n">
        <v>46292</v>
      </c>
      <c r="F114" s="16" t="n">
        <v>46293</v>
      </c>
      <c r="G114" s="13" t="n">
        <v>1</v>
      </c>
      <c r="H114" s="9" t="s">
        <v>80</v>
      </c>
      <c r="I114" s="13" t="s">
        <v>81</v>
      </c>
      <c r="J114" s="7" t="n">
        <v>583490</v>
      </c>
      <c r="K114" s="7" t="n">
        <v>583490</v>
      </c>
      <c r="L114" s="7" t="n">
        <v>0</v>
      </c>
      <c r="M114" s="13" t="s">
        <v>82</v>
      </c>
      <c r="N114" s="9"/>
      <c r="O114" s="9"/>
      <c r="P114" s="18" t="s">
        <v>83</v>
      </c>
    </row>
    <row r="115" customFormat="false" ht="15" hidden="false" customHeight="false" outlineLevel="0" collapsed="false">
      <c r="A115" s="13" t="n">
        <v>111</v>
      </c>
      <c r="B115" s="13" t="s">
        <v>291</v>
      </c>
      <c r="C115" s="9" t="s">
        <v>292</v>
      </c>
      <c r="D115" s="15" t="n">
        <v>46276.2795068634</v>
      </c>
      <c r="E115" s="16" t="n">
        <v>46292</v>
      </c>
      <c r="F115" s="16" t="n">
        <v>46293</v>
      </c>
      <c r="G115" s="13" t="n">
        <v>1</v>
      </c>
      <c r="H115" s="9" t="s">
        <v>136</v>
      </c>
      <c r="I115" s="13" t="s">
        <v>81</v>
      </c>
      <c r="J115" s="7" t="n">
        <v>433675</v>
      </c>
      <c r="K115" s="7" t="n">
        <v>433675</v>
      </c>
      <c r="L115" s="7" t="n">
        <v>0</v>
      </c>
      <c r="M115" s="13" t="s">
        <v>82</v>
      </c>
      <c r="N115" s="9"/>
      <c r="O115" s="9"/>
      <c r="P115" s="18" t="s">
        <v>83</v>
      </c>
    </row>
    <row r="116" customFormat="false" ht="15" hidden="false" customHeight="false" outlineLevel="0" collapsed="false">
      <c r="A116" s="13" t="n">
        <v>112</v>
      </c>
      <c r="B116" s="13" t="s">
        <v>293</v>
      </c>
      <c r="C116" s="9" t="s">
        <v>294</v>
      </c>
      <c r="D116" s="15" t="n">
        <v>46291.0055525116</v>
      </c>
      <c r="E116" s="16" t="n">
        <v>46292</v>
      </c>
      <c r="F116" s="16" t="n">
        <v>46293</v>
      </c>
      <c r="G116" s="13" t="n">
        <v>1</v>
      </c>
      <c r="H116" s="9" t="s">
        <v>136</v>
      </c>
      <c r="I116" s="13" t="s">
        <v>76</v>
      </c>
      <c r="J116" s="7" t="n">
        <v>433675</v>
      </c>
      <c r="K116" s="7" t="n">
        <v>0</v>
      </c>
      <c r="L116" s="7" t="n">
        <v>433675</v>
      </c>
      <c r="M116" s="13"/>
      <c r="N116" s="16" t="n">
        <v>46293</v>
      </c>
      <c r="O116" s="7" t="n">
        <v>433675</v>
      </c>
      <c r="P116" s="19" t="s">
        <v>251</v>
      </c>
    </row>
    <row r="117" customFormat="false" ht="15" hidden="false" customHeight="false" outlineLevel="0" collapsed="false">
      <c r="A117" s="13" t="n">
        <v>113</v>
      </c>
      <c r="B117" s="13" t="s">
        <v>295</v>
      </c>
      <c r="C117" s="9" t="s">
        <v>296</v>
      </c>
      <c r="D117" s="15" t="n">
        <v>46291.5835401736</v>
      </c>
      <c r="E117" s="16" t="n">
        <v>46292</v>
      </c>
      <c r="F117" s="16" t="n">
        <v>46293</v>
      </c>
      <c r="G117" s="13" t="n">
        <v>1</v>
      </c>
      <c r="H117" s="9" t="s">
        <v>75</v>
      </c>
      <c r="I117" s="13" t="s">
        <v>81</v>
      </c>
      <c r="J117" s="7" t="n">
        <v>311457.5</v>
      </c>
      <c r="K117" s="7" t="n">
        <v>311457.5</v>
      </c>
      <c r="L117" s="7" t="n">
        <v>0</v>
      </c>
      <c r="M117" s="13" t="s">
        <v>297</v>
      </c>
      <c r="N117" s="9"/>
      <c r="O117" s="9"/>
      <c r="P117" s="18" t="s">
        <v>83</v>
      </c>
    </row>
    <row r="118" customFormat="false" ht="15" hidden="false" customHeight="false" outlineLevel="0" collapsed="false">
      <c r="A118" s="13" t="n">
        <v>114</v>
      </c>
      <c r="B118" s="13" t="s">
        <v>298</v>
      </c>
      <c r="C118" s="9" t="s">
        <v>299</v>
      </c>
      <c r="D118" s="15" t="n">
        <v>46292.3985325694</v>
      </c>
      <c r="E118" s="16" t="n">
        <v>46292</v>
      </c>
      <c r="F118" s="16" t="n">
        <v>46293</v>
      </c>
      <c r="G118" s="13" t="n">
        <v>1</v>
      </c>
      <c r="H118" s="9" t="s">
        <v>88</v>
      </c>
      <c r="I118" s="13" t="s">
        <v>76</v>
      </c>
      <c r="J118" s="7" t="n">
        <v>390307.5</v>
      </c>
      <c r="K118" s="7" t="n">
        <v>0</v>
      </c>
      <c r="L118" s="7" t="n">
        <v>390307.5</v>
      </c>
      <c r="M118" s="13"/>
      <c r="N118" s="16" t="n">
        <v>46293</v>
      </c>
      <c r="O118" s="7" t="n">
        <v>390308</v>
      </c>
      <c r="P118" s="19" t="s">
        <v>251</v>
      </c>
    </row>
    <row r="119" customFormat="false" ht="15" hidden="false" customHeight="false" outlineLevel="0" collapsed="false">
      <c r="A119" s="13" t="n">
        <v>115</v>
      </c>
      <c r="B119" s="13" t="s">
        <v>300</v>
      </c>
      <c r="C119" s="9" t="s">
        <v>301</v>
      </c>
      <c r="D119" s="15" t="n">
        <v>46292.7840013773</v>
      </c>
      <c r="E119" s="16" t="n">
        <v>46292</v>
      </c>
      <c r="F119" s="16" t="n">
        <v>46293</v>
      </c>
      <c r="G119" s="13" t="n">
        <v>1</v>
      </c>
      <c r="H119" s="9" t="s">
        <v>80</v>
      </c>
      <c r="I119" s="13" t="s">
        <v>76</v>
      </c>
      <c r="J119" s="7" t="n">
        <v>583490</v>
      </c>
      <c r="K119" s="7" t="n">
        <v>0</v>
      </c>
      <c r="L119" s="7" t="n">
        <v>583490</v>
      </c>
      <c r="M119" s="13"/>
      <c r="N119" s="16" t="n">
        <v>46293</v>
      </c>
      <c r="O119" s="7" t="n">
        <v>583490</v>
      </c>
      <c r="P119" s="19" t="s">
        <v>251</v>
      </c>
    </row>
    <row r="120" customFormat="false" ht="15" hidden="false" customHeight="false" outlineLevel="0" collapsed="false">
      <c r="A120" s="13" t="n">
        <v>116</v>
      </c>
      <c r="B120" s="13" t="s">
        <v>302</v>
      </c>
      <c r="C120" s="9" t="s">
        <v>303</v>
      </c>
      <c r="D120" s="15" t="n">
        <v>46292.7852273264</v>
      </c>
      <c r="E120" s="16" t="n">
        <v>46293</v>
      </c>
      <c r="F120" s="16" t="n">
        <v>46294</v>
      </c>
      <c r="G120" s="13" t="n">
        <v>1</v>
      </c>
      <c r="H120" s="9" t="s">
        <v>91</v>
      </c>
      <c r="I120" s="13" t="s">
        <v>76</v>
      </c>
      <c r="J120" s="7" t="n">
        <v>350882.5</v>
      </c>
      <c r="K120" s="7" t="n">
        <v>0</v>
      </c>
      <c r="L120" s="7" t="n">
        <v>350882.5</v>
      </c>
      <c r="M120" s="13"/>
      <c r="N120" s="16" t="n">
        <v>46295</v>
      </c>
      <c r="O120" s="7" t="n">
        <v>350883</v>
      </c>
      <c r="P120" s="19" t="s">
        <v>251</v>
      </c>
    </row>
    <row r="121" customFormat="false" ht="15" hidden="false" customHeight="false" outlineLevel="0" collapsed="false">
      <c r="A121" s="13" t="n">
        <v>117</v>
      </c>
      <c r="B121" s="13" t="s">
        <v>304</v>
      </c>
      <c r="C121" s="9" t="s">
        <v>305</v>
      </c>
      <c r="D121" s="15" t="n">
        <v>46292.8568137384</v>
      </c>
      <c r="E121" s="16" t="n">
        <v>46293</v>
      </c>
      <c r="F121" s="16" t="n">
        <v>46294</v>
      </c>
      <c r="G121" s="13" t="n">
        <v>1</v>
      </c>
      <c r="H121" s="9" t="s">
        <v>88</v>
      </c>
      <c r="I121" s="13" t="s">
        <v>76</v>
      </c>
      <c r="J121" s="7" t="n">
        <v>390307.5</v>
      </c>
      <c r="K121" s="7" t="n">
        <v>0</v>
      </c>
      <c r="L121" s="7" t="n">
        <v>390307.5</v>
      </c>
      <c r="M121" s="13"/>
      <c r="N121" s="16" t="n">
        <v>46295</v>
      </c>
      <c r="O121" s="7" t="n">
        <v>390308</v>
      </c>
      <c r="P121" s="19" t="s">
        <v>251</v>
      </c>
    </row>
    <row r="122" customFormat="false" ht="15" hidden="false" customHeight="false" outlineLevel="0" collapsed="false">
      <c r="A122" s="13" t="n">
        <v>118</v>
      </c>
      <c r="B122" s="13" t="s">
        <v>306</v>
      </c>
      <c r="C122" s="9" t="s">
        <v>307</v>
      </c>
      <c r="D122" s="15" t="n">
        <v>46293.4269872685</v>
      </c>
      <c r="E122" s="16" t="n">
        <v>46293</v>
      </c>
      <c r="F122" s="16" t="n">
        <v>46294</v>
      </c>
      <c r="G122" s="13" t="n">
        <v>1</v>
      </c>
      <c r="H122" s="9" t="s">
        <v>136</v>
      </c>
      <c r="I122" s="13" t="s">
        <v>76</v>
      </c>
      <c r="J122" s="7" t="n">
        <v>433675</v>
      </c>
      <c r="K122" s="7" t="n">
        <v>0</v>
      </c>
      <c r="L122" s="7" t="n">
        <v>433675</v>
      </c>
      <c r="M122" s="13"/>
      <c r="N122" s="16" t="n">
        <v>46295</v>
      </c>
      <c r="O122" s="7" t="n">
        <v>433675</v>
      </c>
      <c r="P122" s="19" t="s">
        <v>251</v>
      </c>
    </row>
    <row r="123" customFormat="false" ht="15" hidden="false" customHeight="false" outlineLevel="0" collapsed="false">
      <c r="A123" s="13" t="n">
        <v>119</v>
      </c>
      <c r="B123" s="13" t="s">
        <v>308</v>
      </c>
      <c r="C123" s="9" t="s">
        <v>309</v>
      </c>
      <c r="D123" s="15" t="n">
        <v>46293.7568141667</v>
      </c>
      <c r="E123" s="16" t="n">
        <v>46293</v>
      </c>
      <c r="F123" s="16" t="n">
        <v>46294</v>
      </c>
      <c r="G123" s="13" t="n">
        <v>1</v>
      </c>
      <c r="H123" s="9" t="s">
        <v>91</v>
      </c>
      <c r="I123" s="13" t="s">
        <v>76</v>
      </c>
      <c r="J123" s="7" t="n">
        <v>350882.5</v>
      </c>
      <c r="K123" s="7" t="n">
        <v>0</v>
      </c>
      <c r="L123" s="7" t="n">
        <v>350882.5</v>
      </c>
      <c r="M123" s="13"/>
      <c r="N123" s="16" t="n">
        <v>46295</v>
      </c>
      <c r="O123" s="7" t="n">
        <v>350883</v>
      </c>
      <c r="P123" s="19" t="s">
        <v>251</v>
      </c>
    </row>
    <row r="124" customFormat="false" ht="15" hidden="false" customHeight="false" outlineLevel="0" collapsed="false">
      <c r="A124" s="13" t="n">
        <v>120</v>
      </c>
      <c r="B124" s="13" t="s">
        <v>310</v>
      </c>
      <c r="C124" s="9" t="s">
        <v>311</v>
      </c>
      <c r="D124" s="15" t="n">
        <v>46293.7609207176</v>
      </c>
      <c r="E124" s="16" t="n">
        <v>46293</v>
      </c>
      <c r="F124" s="16" t="n">
        <v>46294</v>
      </c>
      <c r="G124" s="13" t="n">
        <v>1</v>
      </c>
      <c r="H124" s="9" t="s">
        <v>80</v>
      </c>
      <c r="I124" s="13" t="s">
        <v>76</v>
      </c>
      <c r="J124" s="7" t="n">
        <v>583490</v>
      </c>
      <c r="K124" s="7" t="n">
        <v>0</v>
      </c>
      <c r="L124" s="7" t="n">
        <v>583490</v>
      </c>
      <c r="M124" s="13"/>
      <c r="N124" s="16" t="n">
        <v>46295</v>
      </c>
      <c r="O124" s="7" t="n">
        <v>583490</v>
      </c>
      <c r="P124" s="19" t="s">
        <v>251</v>
      </c>
    </row>
    <row r="125" customFormat="false" ht="15" hidden="false" customHeight="false" outlineLevel="0" collapsed="false">
      <c r="A125" s="13" t="n">
        <v>121</v>
      </c>
      <c r="B125" s="13" t="s">
        <v>312</v>
      </c>
      <c r="C125" s="9" t="s">
        <v>313</v>
      </c>
      <c r="D125" s="15" t="n">
        <v>46293.9758913426</v>
      </c>
      <c r="E125" s="16" t="n">
        <v>46293</v>
      </c>
      <c r="F125" s="16" t="n">
        <v>46294</v>
      </c>
      <c r="G125" s="13" t="n">
        <v>1</v>
      </c>
      <c r="H125" s="9" t="s">
        <v>88</v>
      </c>
      <c r="I125" s="13" t="s">
        <v>76</v>
      </c>
      <c r="J125" s="7" t="n">
        <v>390307.5</v>
      </c>
      <c r="K125" s="7" t="n">
        <v>0</v>
      </c>
      <c r="L125" s="7" t="n">
        <v>390307.5</v>
      </c>
      <c r="M125" s="13"/>
      <c r="N125" s="16" t="n">
        <v>46295</v>
      </c>
      <c r="O125" s="7" t="n">
        <v>390308</v>
      </c>
      <c r="P125" s="19" t="s">
        <v>251</v>
      </c>
    </row>
    <row r="126" customFormat="false" ht="15" hidden="false" customHeight="false" outlineLevel="0" collapsed="false">
      <c r="A126" s="13" t="n">
        <v>122</v>
      </c>
      <c r="B126" s="13" t="s">
        <v>314</v>
      </c>
      <c r="C126" s="9" t="s">
        <v>315</v>
      </c>
      <c r="D126" s="15" t="n">
        <v>46293.6639502778</v>
      </c>
      <c r="E126" s="16" t="n">
        <v>46294</v>
      </c>
      <c r="F126" s="16" t="n">
        <v>46295</v>
      </c>
      <c r="G126" s="13" t="n">
        <v>1</v>
      </c>
      <c r="H126" s="9" t="s">
        <v>136</v>
      </c>
      <c r="I126" s="13" t="s">
        <v>76</v>
      </c>
      <c r="J126" s="7" t="n">
        <v>433675</v>
      </c>
      <c r="K126" s="7" t="n">
        <v>0</v>
      </c>
      <c r="L126" s="7" t="n">
        <v>433675</v>
      </c>
      <c r="M126" s="13"/>
      <c r="N126" s="16" t="n">
        <v>46295</v>
      </c>
      <c r="O126" s="7" t="n">
        <v>433675</v>
      </c>
      <c r="P126" s="19" t="s">
        <v>251</v>
      </c>
    </row>
    <row r="127" customFormat="false" ht="15" hidden="false" customHeight="false" outlineLevel="0" collapsed="false">
      <c r="A127" s="13" t="n">
        <v>123</v>
      </c>
      <c r="B127" s="13" t="s">
        <v>316</v>
      </c>
      <c r="C127" s="9" t="s">
        <v>317</v>
      </c>
      <c r="D127" s="15" t="n">
        <v>46294.683264537</v>
      </c>
      <c r="E127" s="16" t="n">
        <v>46295</v>
      </c>
      <c r="F127" s="16" t="n">
        <v>46296</v>
      </c>
      <c r="G127" s="13" t="n">
        <v>1</v>
      </c>
      <c r="H127" s="9" t="s">
        <v>80</v>
      </c>
      <c r="I127" s="13" t="s">
        <v>76</v>
      </c>
      <c r="J127" s="7" t="n">
        <v>583490</v>
      </c>
      <c r="K127" s="7" t="n">
        <v>0</v>
      </c>
      <c r="L127" s="7" t="n">
        <v>583490</v>
      </c>
      <c r="M127" s="13"/>
      <c r="N127" s="9"/>
      <c r="O127" s="9"/>
      <c r="P127" s="20" t="s">
        <v>6</v>
      </c>
    </row>
    <row r="128" customFormat="false" ht="15" hidden="false" customHeight="false" outlineLevel="0" collapsed="false">
      <c r="A128" s="13" t="n">
        <v>124</v>
      </c>
      <c r="B128" s="13" t="s">
        <v>318</v>
      </c>
      <c r="C128" s="9" t="s">
        <v>319</v>
      </c>
      <c r="D128" s="15" t="n">
        <v>46295.1406566667</v>
      </c>
      <c r="E128" s="16" t="n">
        <v>46295</v>
      </c>
      <c r="F128" s="16" t="n">
        <v>46296</v>
      </c>
      <c r="G128" s="13" t="n">
        <v>1</v>
      </c>
      <c r="H128" s="9" t="s">
        <v>88</v>
      </c>
      <c r="I128" s="13" t="s">
        <v>76</v>
      </c>
      <c r="J128" s="7" t="n">
        <v>390307.5</v>
      </c>
      <c r="K128" s="7" t="n">
        <v>0</v>
      </c>
      <c r="L128" s="7" t="n">
        <v>390307.5</v>
      </c>
      <c r="M128" s="13"/>
      <c r="N128" s="9"/>
      <c r="O128" s="9"/>
      <c r="P128" s="20" t="s">
        <v>6</v>
      </c>
    </row>
    <row r="129" customFormat="false" ht="15" hidden="false" customHeight="false" outlineLevel="0" collapsed="false">
      <c r="A129" s="13" t="n">
        <v>125</v>
      </c>
      <c r="B129" s="13" t="s">
        <v>320</v>
      </c>
      <c r="C129" s="9" t="s">
        <v>321</v>
      </c>
      <c r="D129" s="15" t="n">
        <v>46295.1895795486</v>
      </c>
      <c r="E129" s="16" t="n">
        <v>46295</v>
      </c>
      <c r="F129" s="16" t="n">
        <v>46296</v>
      </c>
      <c r="G129" s="13" t="n">
        <v>1</v>
      </c>
      <c r="H129" s="9" t="s">
        <v>136</v>
      </c>
      <c r="I129" s="13" t="s">
        <v>76</v>
      </c>
      <c r="J129" s="7" t="n">
        <v>433675</v>
      </c>
      <c r="K129" s="7" t="n">
        <v>0</v>
      </c>
      <c r="L129" s="7" t="n">
        <v>433675</v>
      </c>
      <c r="M129" s="13"/>
      <c r="N129" s="9"/>
      <c r="O129" s="9"/>
      <c r="P129" s="20" t="s">
        <v>6</v>
      </c>
    </row>
    <row r="130" customFormat="false" ht="15" hidden="false" customHeight="false" outlineLevel="0" collapsed="false">
      <c r="A130" s="13" t="n">
        <v>126</v>
      </c>
      <c r="B130" s="13" t="s">
        <v>322</v>
      </c>
      <c r="C130" s="9" t="s">
        <v>323</v>
      </c>
      <c r="D130" s="15" t="n">
        <v>46295.6887486343</v>
      </c>
      <c r="E130" s="16" t="n">
        <v>46295</v>
      </c>
      <c r="F130" s="16" t="n">
        <v>46296</v>
      </c>
      <c r="G130" s="13" t="n">
        <v>1</v>
      </c>
      <c r="H130" s="9" t="s">
        <v>80</v>
      </c>
      <c r="I130" s="13" t="s">
        <v>76</v>
      </c>
      <c r="J130" s="7" t="n">
        <v>583490</v>
      </c>
      <c r="K130" s="7" t="n">
        <v>0</v>
      </c>
      <c r="L130" s="7" t="n">
        <v>583490</v>
      </c>
      <c r="M130" s="13"/>
      <c r="N130" s="9"/>
      <c r="O130" s="9"/>
      <c r="P130" s="20" t="s">
        <v>6</v>
      </c>
    </row>
    <row r="131" customFormat="false" ht="15" hidden="false" customHeight="false" outlineLevel="0" collapsed="false">
      <c r="A131" s="13" t="n">
        <v>127</v>
      </c>
      <c r="B131" s="13" t="s">
        <v>324</v>
      </c>
      <c r="C131" s="9" t="s">
        <v>325</v>
      </c>
      <c r="D131" s="15" t="n">
        <v>46295.9309367477</v>
      </c>
      <c r="E131" s="16" t="n">
        <v>46295</v>
      </c>
      <c r="F131" s="16" t="n">
        <v>46296</v>
      </c>
      <c r="G131" s="13" t="n">
        <v>1</v>
      </c>
      <c r="H131" s="9" t="s">
        <v>88</v>
      </c>
      <c r="I131" s="13" t="s">
        <v>76</v>
      </c>
      <c r="J131" s="7" t="n">
        <v>390307.5</v>
      </c>
      <c r="K131" s="7" t="n">
        <v>0</v>
      </c>
      <c r="L131" s="7" t="n">
        <v>390307.5</v>
      </c>
      <c r="M131" s="13"/>
      <c r="N131" s="9"/>
      <c r="O131" s="9"/>
      <c r="P131" s="20" t="s">
        <v>6</v>
      </c>
    </row>
    <row r="132" customFormat="false" ht="15" hidden="false" customHeight="true" outlineLevel="0" collapsed="false">
      <c r="A132" s="21" t="s">
        <v>7</v>
      </c>
      <c r="B132" s="21"/>
      <c r="C132" s="21"/>
      <c r="D132" s="21"/>
      <c r="E132" s="21"/>
      <c r="F132" s="21"/>
      <c r="G132" s="21"/>
      <c r="H132" s="21"/>
      <c r="I132" s="21"/>
      <c r="J132" s="11" t="n">
        <f aca="false">SUM(J5:J131)</f>
        <v>63903982.5</v>
      </c>
      <c r="K132" s="11" t="n">
        <f aca="false">SUM(K5:K131)</f>
        <v>17847697.5</v>
      </c>
      <c r="L132" s="11" t="n">
        <f aca="false">SUM(L5:L131)</f>
        <v>46056285</v>
      </c>
      <c r="O132" s="11" t="n">
        <f aca="false">SUM(O5:O131)</f>
        <v>13290175</v>
      </c>
    </row>
  </sheetData>
  <autoFilter ref="A4:P131"/>
  <mergeCells count="1">
    <mergeCell ref="A132:I1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EA5"/>
    <pageSetUpPr fitToPage="true"/>
  </sheetPr>
  <dimension ref="A1:J3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3"/>
    <col collapsed="false" customWidth="true" hidden="false" outlineLevel="0" max="3" min="3" style="0" width="10"/>
    <col collapsed="false" customWidth="true" hidden="false" outlineLevel="0" max="4" min="4" style="0" width="15"/>
    <col collapsed="false" customWidth="true" hidden="false" outlineLevel="0" max="5" min="5" style="0" width="13"/>
    <col collapsed="false" customWidth="true" hidden="false" outlineLevel="0" max="6" min="6" style="0" width="28"/>
    <col collapsed="false" customWidth="true" hidden="false" outlineLevel="0" max="7" min="7" style="0" width="13"/>
    <col collapsed="false" customWidth="true" hidden="false" outlineLevel="0" max="8" min="8" style="0" width="15"/>
    <col collapsed="false" customWidth="true" hidden="false" outlineLevel="0" max="9" min="9" style="0" width="10"/>
    <col collapsed="false" customWidth="true" hidden="false" outlineLevel="0" max="10" min="10" style="0" width="16"/>
  </cols>
  <sheetData>
    <row r="1" customFormat="false" ht="25.5" hidden="false" customHeight="true" outlineLevel="0" collapsed="false">
      <c r="A1" s="1" t="s">
        <v>326</v>
      </c>
    </row>
    <row r="2" customFormat="false" ht="15" hidden="false" customHeight="false" outlineLevel="0" collapsed="false">
      <c r="A2" s="2" t="s">
        <v>327</v>
      </c>
    </row>
    <row r="4" customFormat="false" ht="31.5" hidden="false" customHeight="true" outlineLevel="0" collapsed="false">
      <c r="A4" s="5" t="s">
        <v>328</v>
      </c>
      <c r="B4" s="5" t="s">
        <v>329</v>
      </c>
      <c r="C4" s="5" t="s">
        <v>330</v>
      </c>
      <c r="D4" s="5" t="s">
        <v>331</v>
      </c>
      <c r="E4" s="5" t="s">
        <v>332</v>
      </c>
      <c r="F4" s="5" t="s">
        <v>60</v>
      </c>
      <c r="G4" s="5" t="s">
        <v>333</v>
      </c>
      <c r="H4" s="5" t="s">
        <v>334</v>
      </c>
      <c r="I4" s="5" t="s">
        <v>335</v>
      </c>
      <c r="J4" s="5" t="s">
        <v>336</v>
      </c>
    </row>
    <row r="5" customFormat="false" ht="15" hidden="false" customHeight="false" outlineLevel="0" collapsed="false">
      <c r="A5" s="13" t="n">
        <v>89</v>
      </c>
      <c r="B5" s="16" t="n">
        <v>46287</v>
      </c>
      <c r="C5" s="13" t="s">
        <v>337</v>
      </c>
      <c r="D5" s="7" t="n">
        <v>1166980</v>
      </c>
      <c r="E5" s="13" t="s">
        <v>250</v>
      </c>
      <c r="F5" s="9" t="s">
        <v>210</v>
      </c>
      <c r="G5" s="16" t="n">
        <v>46285</v>
      </c>
      <c r="H5" s="7" t="n">
        <f aca="false">INDEX(Tiket_الحجوزات!$L$5:$L$131,MATCH(E5,Tiket_الحجوزات!$B$5:$B$131,0))</f>
        <v>1166980</v>
      </c>
      <c r="I5" s="22" t="n">
        <f aca="false">D5-H5</f>
        <v>0</v>
      </c>
      <c r="J5" s="16" t="n">
        <v>46287</v>
      </c>
    </row>
    <row r="6" customFormat="false" ht="15" hidden="false" customHeight="false" outlineLevel="0" collapsed="false">
      <c r="A6" s="13" t="n">
        <v>94</v>
      </c>
      <c r="B6" s="16" t="n">
        <v>46288</v>
      </c>
      <c r="C6" s="13" t="s">
        <v>338</v>
      </c>
      <c r="D6" s="7" t="n">
        <v>390308</v>
      </c>
      <c r="E6" s="13" t="s">
        <v>254</v>
      </c>
      <c r="F6" s="9" t="s">
        <v>255</v>
      </c>
      <c r="G6" s="16" t="n">
        <v>46287</v>
      </c>
      <c r="H6" s="7" t="n">
        <f aca="false">INDEX(Tiket_الحجوزات!$L$5:$L$131,MATCH(E6,Tiket_الحجوزات!$B$5:$B$131,0))</f>
        <v>390307.5</v>
      </c>
      <c r="I6" s="22" t="n">
        <f aca="false">D6-H6</f>
        <v>0.5</v>
      </c>
      <c r="J6" s="16" t="n">
        <v>46288</v>
      </c>
    </row>
    <row r="7" customFormat="false" ht="15" hidden="false" customHeight="false" outlineLevel="0" collapsed="false">
      <c r="A7" s="13" t="n">
        <v>101</v>
      </c>
      <c r="B7" s="16" t="n">
        <v>46289</v>
      </c>
      <c r="C7" s="13" t="s">
        <v>339</v>
      </c>
      <c r="D7" s="7" t="n">
        <v>433675</v>
      </c>
      <c r="E7" s="13" t="s">
        <v>256</v>
      </c>
      <c r="F7" s="9" t="s">
        <v>257</v>
      </c>
      <c r="G7" s="16" t="n">
        <v>46288</v>
      </c>
      <c r="H7" s="7" t="n">
        <f aca="false">INDEX(Tiket_الحجوزات!$L$5:$L$131,MATCH(E7,Tiket_الحجوزات!$B$5:$B$131,0))</f>
        <v>433675</v>
      </c>
      <c r="I7" s="22" t="n">
        <f aca="false">D7-H7</f>
        <v>0</v>
      </c>
      <c r="J7" s="16" t="n">
        <v>46289</v>
      </c>
    </row>
    <row r="8" customFormat="false" ht="15" hidden="false" customHeight="false" outlineLevel="0" collapsed="false">
      <c r="A8" s="13" t="n">
        <v>126</v>
      </c>
      <c r="B8" s="16" t="n">
        <v>46293</v>
      </c>
      <c r="C8" s="13" t="s">
        <v>340</v>
      </c>
      <c r="D8" s="7" t="n">
        <v>599260</v>
      </c>
      <c r="E8" s="13" t="s">
        <v>271</v>
      </c>
      <c r="F8" s="9" t="s">
        <v>272</v>
      </c>
      <c r="G8" s="16" t="n">
        <v>46291</v>
      </c>
      <c r="H8" s="7" t="n">
        <f aca="false">INDEX(Tiket_الحجوزات!$L$5:$L$131,MATCH(E8,Tiket_الحجوزات!$B$5:$B$131,0))</f>
        <v>599260</v>
      </c>
      <c r="I8" s="22" t="n">
        <f aca="false">D8-H8</f>
        <v>0</v>
      </c>
      <c r="J8" s="16" t="n">
        <v>46293</v>
      </c>
    </row>
    <row r="9" customFormat="false" ht="15" hidden="false" customHeight="false" outlineLevel="0" collapsed="false">
      <c r="A9" s="13" t="n">
        <v>127</v>
      </c>
      <c r="B9" s="16" t="n">
        <v>46293</v>
      </c>
      <c r="C9" s="13" t="s">
        <v>340</v>
      </c>
      <c r="D9" s="7" t="n">
        <v>709650</v>
      </c>
      <c r="E9" s="13" t="s">
        <v>279</v>
      </c>
      <c r="F9" s="9" t="s">
        <v>280</v>
      </c>
      <c r="G9" s="16" t="n">
        <v>46291</v>
      </c>
      <c r="H9" s="7" t="n">
        <f aca="false">INDEX(Tiket_الحجوزات!$L$5:$L$131,MATCH(E9,Tiket_الحجوزات!$B$5:$B$131,0))</f>
        <v>709650</v>
      </c>
      <c r="I9" s="22" t="n">
        <f aca="false">D9-H9</f>
        <v>0</v>
      </c>
      <c r="J9" s="16" t="n">
        <v>46293</v>
      </c>
    </row>
    <row r="10" customFormat="false" ht="15" hidden="false" customHeight="false" outlineLevel="0" collapsed="false">
      <c r="A10" s="13" t="n">
        <v>128</v>
      </c>
      <c r="B10" s="16" t="n">
        <v>46293</v>
      </c>
      <c r="C10" s="13" t="s">
        <v>340</v>
      </c>
      <c r="D10" s="7" t="n">
        <v>429733</v>
      </c>
      <c r="E10" s="13" t="s">
        <v>281</v>
      </c>
      <c r="F10" s="9" t="s">
        <v>282</v>
      </c>
      <c r="G10" s="16" t="n">
        <v>46291</v>
      </c>
      <c r="H10" s="7" t="n">
        <f aca="false">INDEX(Tiket_الحجوزات!$L$5:$L$131,MATCH(E10,Tiket_الحجوزات!$B$5:$B$131,0))</f>
        <v>429732.5</v>
      </c>
      <c r="I10" s="22" t="n">
        <f aca="false">D10-H10</f>
        <v>0.5</v>
      </c>
      <c r="J10" s="16" t="n">
        <v>46293</v>
      </c>
    </row>
    <row r="11" customFormat="false" ht="15" hidden="false" customHeight="false" outlineLevel="0" collapsed="false">
      <c r="A11" s="13" t="n">
        <v>129</v>
      </c>
      <c r="B11" s="16" t="n">
        <v>46293</v>
      </c>
      <c r="C11" s="13" t="s">
        <v>340</v>
      </c>
      <c r="D11" s="7" t="n">
        <v>390308</v>
      </c>
      <c r="E11" s="13" t="s">
        <v>287</v>
      </c>
      <c r="F11" s="9" t="s">
        <v>288</v>
      </c>
      <c r="G11" s="16" t="n">
        <v>46291</v>
      </c>
      <c r="H11" s="7" t="n">
        <f aca="false">INDEX(Tiket_الحجوزات!$L$5:$L$131,MATCH(E11,Tiket_الحجوزات!$B$5:$B$131,0))</f>
        <v>390307.5</v>
      </c>
      <c r="I11" s="22" t="n">
        <f aca="false">D11-H11</f>
        <v>0.5</v>
      </c>
      <c r="J11" s="16" t="n">
        <v>46293</v>
      </c>
    </row>
    <row r="12" customFormat="false" ht="15" hidden="false" customHeight="false" outlineLevel="0" collapsed="false">
      <c r="A12" s="13" t="n">
        <v>130</v>
      </c>
      <c r="B12" s="16" t="n">
        <v>46293</v>
      </c>
      <c r="C12" s="13" t="s">
        <v>340</v>
      </c>
      <c r="D12" s="7" t="n">
        <v>429733</v>
      </c>
      <c r="E12" s="13" t="s">
        <v>266</v>
      </c>
      <c r="F12" s="9" t="s">
        <v>267</v>
      </c>
      <c r="G12" s="16" t="n">
        <v>46290</v>
      </c>
      <c r="H12" s="7" t="n">
        <f aca="false">INDEX(Tiket_الحجوزات!$L$5:$L$131,MATCH(E12,Tiket_الحجوزات!$B$5:$B$131,0))</f>
        <v>429732.5</v>
      </c>
      <c r="I12" s="22" t="n">
        <f aca="false">D12-H12</f>
        <v>0.5</v>
      </c>
      <c r="J12" s="16" t="n">
        <v>46293</v>
      </c>
    </row>
    <row r="13" customFormat="false" ht="15" hidden="false" customHeight="false" outlineLevel="0" collapsed="false">
      <c r="A13" s="13" t="n">
        <v>131</v>
      </c>
      <c r="B13" s="16" t="n">
        <v>46293</v>
      </c>
      <c r="C13" s="13" t="s">
        <v>340</v>
      </c>
      <c r="D13" s="7" t="n">
        <v>390308</v>
      </c>
      <c r="E13" s="13" t="s">
        <v>273</v>
      </c>
      <c r="F13" s="9" t="s">
        <v>274</v>
      </c>
      <c r="G13" s="16" t="n">
        <v>46291</v>
      </c>
      <c r="H13" s="7" t="n">
        <f aca="false">INDEX(Tiket_الحجوزات!$L$5:$L$131,MATCH(E13,Tiket_الحجوزات!$B$5:$B$131,0))</f>
        <v>390307.5</v>
      </c>
      <c r="I13" s="22" t="n">
        <f aca="false">D13-H13</f>
        <v>0.5</v>
      </c>
      <c r="J13" s="16" t="n">
        <v>46293</v>
      </c>
    </row>
    <row r="14" customFormat="false" ht="15" hidden="false" customHeight="false" outlineLevel="0" collapsed="false">
      <c r="A14" s="13" t="n">
        <v>132</v>
      </c>
      <c r="B14" s="16" t="n">
        <v>46293</v>
      </c>
      <c r="C14" s="13" t="s">
        <v>340</v>
      </c>
      <c r="D14" s="7" t="n">
        <v>390308</v>
      </c>
      <c r="E14" s="13" t="s">
        <v>298</v>
      </c>
      <c r="F14" s="9" t="s">
        <v>299</v>
      </c>
      <c r="G14" s="16" t="n">
        <v>46292</v>
      </c>
      <c r="H14" s="7" t="n">
        <f aca="false">INDEX(Tiket_الحجوزات!$L$5:$L$131,MATCH(E14,Tiket_الحجوزات!$B$5:$B$131,0))</f>
        <v>390307.5</v>
      </c>
      <c r="I14" s="22" t="n">
        <f aca="false">D14-H14</f>
        <v>0.5</v>
      </c>
      <c r="J14" s="16" t="n">
        <v>46293</v>
      </c>
    </row>
    <row r="15" customFormat="false" ht="15" hidden="false" customHeight="false" outlineLevel="0" collapsed="false">
      <c r="A15" s="13" t="n">
        <v>133</v>
      </c>
      <c r="B15" s="16" t="n">
        <v>46293</v>
      </c>
      <c r="C15" s="13" t="s">
        <v>340</v>
      </c>
      <c r="D15" s="7" t="n">
        <v>429733</v>
      </c>
      <c r="E15" s="13" t="s">
        <v>269</v>
      </c>
      <c r="F15" s="9" t="s">
        <v>270</v>
      </c>
      <c r="G15" s="16" t="n">
        <v>46291</v>
      </c>
      <c r="H15" s="7" t="n">
        <f aca="false">INDEX(Tiket_الحجوزات!$L$5:$L$131,MATCH(E15,Tiket_الحجوزات!$B$5:$B$131,0))</f>
        <v>429732.5</v>
      </c>
      <c r="I15" s="22" t="n">
        <f aca="false">D15-H15</f>
        <v>0.5</v>
      </c>
      <c r="J15" s="16" t="n">
        <v>46293</v>
      </c>
    </row>
    <row r="16" customFormat="false" ht="15" hidden="false" customHeight="false" outlineLevel="0" collapsed="false">
      <c r="A16" s="13" t="n">
        <v>134</v>
      </c>
      <c r="B16" s="16" t="n">
        <v>46293</v>
      </c>
      <c r="C16" s="13" t="s">
        <v>340</v>
      </c>
      <c r="D16" s="7" t="n">
        <v>709650</v>
      </c>
      <c r="E16" s="13" t="s">
        <v>275</v>
      </c>
      <c r="F16" s="9" t="s">
        <v>276</v>
      </c>
      <c r="G16" s="16" t="n">
        <v>46291</v>
      </c>
      <c r="H16" s="7" t="n">
        <f aca="false">INDEX(Tiket_الحجوزات!$L$5:$L$131,MATCH(E16,Tiket_الحجوزات!$B$5:$B$131,0))</f>
        <v>709650</v>
      </c>
      <c r="I16" s="22" t="n">
        <f aca="false">D16-H16</f>
        <v>0</v>
      </c>
      <c r="J16" s="16" t="n">
        <v>46293</v>
      </c>
    </row>
    <row r="17" customFormat="false" ht="15" hidden="false" customHeight="false" outlineLevel="0" collapsed="false">
      <c r="A17" s="13" t="n">
        <v>135</v>
      </c>
      <c r="B17" s="16" t="n">
        <v>46293</v>
      </c>
      <c r="C17" s="13" t="s">
        <v>340</v>
      </c>
      <c r="D17" s="7" t="n">
        <v>583490</v>
      </c>
      <c r="E17" s="13" t="s">
        <v>300</v>
      </c>
      <c r="F17" s="9" t="s">
        <v>301</v>
      </c>
      <c r="G17" s="16" t="n">
        <v>46292</v>
      </c>
      <c r="H17" s="7" t="n">
        <f aca="false">INDEX(Tiket_الحجوزات!$L$5:$L$131,MATCH(E17,Tiket_الحجوزات!$B$5:$B$131,0))</f>
        <v>583490</v>
      </c>
      <c r="I17" s="22" t="n">
        <f aca="false">D17-H17</f>
        <v>0</v>
      </c>
      <c r="J17" s="16" t="n">
        <v>46293</v>
      </c>
    </row>
    <row r="18" customFormat="false" ht="15" hidden="false" customHeight="false" outlineLevel="0" collapsed="false">
      <c r="A18" s="13" t="n">
        <v>136</v>
      </c>
      <c r="B18" s="16" t="n">
        <v>46293</v>
      </c>
      <c r="C18" s="13" t="s">
        <v>341</v>
      </c>
      <c r="D18" s="7" t="n">
        <v>433675</v>
      </c>
      <c r="E18" s="13" t="s">
        <v>293</v>
      </c>
      <c r="F18" s="9" t="s">
        <v>294</v>
      </c>
      <c r="G18" s="16" t="n">
        <v>46292</v>
      </c>
      <c r="H18" s="7" t="n">
        <f aca="false">INDEX(Tiket_الحجوزات!$L$5:$L$131,MATCH(E18,Tiket_الحجوزات!$B$5:$B$131,0))</f>
        <v>433675</v>
      </c>
      <c r="I18" s="22" t="n">
        <f aca="false">D18-H18</f>
        <v>0</v>
      </c>
      <c r="J18" s="16" t="n">
        <v>46293</v>
      </c>
    </row>
    <row r="19" customFormat="false" ht="15" hidden="false" customHeight="false" outlineLevel="0" collapsed="false">
      <c r="A19" s="13" t="n">
        <v>137</v>
      </c>
      <c r="B19" s="16" t="n">
        <v>46293</v>
      </c>
      <c r="C19" s="13" t="s">
        <v>341</v>
      </c>
      <c r="D19" s="7" t="n">
        <v>350883</v>
      </c>
      <c r="E19" s="13" t="s">
        <v>277</v>
      </c>
      <c r="F19" s="9" t="s">
        <v>278</v>
      </c>
      <c r="G19" s="16" t="n">
        <v>46291</v>
      </c>
      <c r="H19" s="7" t="n">
        <f aca="false">INDEX(Tiket_الحجوزات!$L$5:$L$131,MATCH(E19,Tiket_الحجوزات!$B$5:$B$131,0))</f>
        <v>350882.5</v>
      </c>
      <c r="I19" s="22" t="n">
        <f aca="false">D19-H19</f>
        <v>0.5</v>
      </c>
      <c r="J19" s="16" t="n">
        <v>46293</v>
      </c>
    </row>
    <row r="20" customFormat="false" ht="15" hidden="false" customHeight="false" outlineLevel="0" collapsed="false">
      <c r="A20" s="13" t="n">
        <v>138</v>
      </c>
      <c r="B20" s="16" t="n">
        <v>46293</v>
      </c>
      <c r="C20" s="13" t="s">
        <v>342</v>
      </c>
      <c r="D20" s="7" t="n">
        <v>599260</v>
      </c>
      <c r="E20" s="13" t="s">
        <v>285</v>
      </c>
      <c r="F20" s="9" t="s">
        <v>286</v>
      </c>
      <c r="G20" s="16" t="n">
        <v>46291</v>
      </c>
      <c r="H20" s="7" t="n">
        <f aca="false">INDEX(Tiket_الحجوزات!$L$5:$L$131,MATCH(E20,Tiket_الحجوزات!$B$5:$B$131,0))</f>
        <v>599260</v>
      </c>
      <c r="I20" s="22" t="n">
        <f aca="false">D20-H20</f>
        <v>0</v>
      </c>
      <c r="J20" s="16" t="n">
        <v>46293</v>
      </c>
    </row>
    <row r="21" customFormat="false" ht="15" hidden="false" customHeight="false" outlineLevel="0" collapsed="false">
      <c r="A21" s="13" t="n">
        <v>139</v>
      </c>
      <c r="B21" s="16" t="n">
        <v>46293</v>
      </c>
      <c r="C21" s="13" t="s">
        <v>342</v>
      </c>
      <c r="D21" s="7" t="n">
        <v>429733</v>
      </c>
      <c r="E21" s="13" t="s">
        <v>264</v>
      </c>
      <c r="F21" s="9" t="s">
        <v>265</v>
      </c>
      <c r="G21" s="16" t="n">
        <v>46290</v>
      </c>
      <c r="H21" s="7" t="n">
        <f aca="false">INDEX(Tiket_الحجوزات!$L$5:$L$131,MATCH(E21,Tiket_الحجوزات!$B$5:$B$131,0))</f>
        <v>429732.5</v>
      </c>
      <c r="I21" s="22" t="n">
        <f aca="false">D21-H21</f>
        <v>0.5</v>
      </c>
      <c r="J21" s="16" t="n">
        <v>46293</v>
      </c>
    </row>
    <row r="22" customFormat="false" ht="15" hidden="false" customHeight="false" outlineLevel="0" collapsed="false">
      <c r="A22" s="13" t="n">
        <v>140</v>
      </c>
      <c r="B22" s="16" t="n">
        <v>46293</v>
      </c>
      <c r="C22" s="13" t="s">
        <v>342</v>
      </c>
      <c r="D22" s="7" t="n">
        <v>429733</v>
      </c>
      <c r="E22" s="13" t="s">
        <v>283</v>
      </c>
      <c r="F22" s="9" t="s">
        <v>284</v>
      </c>
      <c r="G22" s="16" t="n">
        <v>46291</v>
      </c>
      <c r="H22" s="7" t="n">
        <f aca="false">INDEX(Tiket_الحجوزات!$L$5:$L$131,MATCH(E22,Tiket_الحجوزات!$B$5:$B$131,0))</f>
        <v>429732.5</v>
      </c>
      <c r="I22" s="22" t="n">
        <f aca="false">D22-H22</f>
        <v>0.5</v>
      </c>
      <c r="J22" s="16" t="n">
        <v>46293</v>
      </c>
    </row>
    <row r="23" customFormat="false" ht="15" hidden="false" customHeight="false" outlineLevel="0" collapsed="false">
      <c r="A23" s="13" t="n">
        <v>141</v>
      </c>
      <c r="B23" s="16" t="n">
        <v>46293</v>
      </c>
      <c r="C23" s="13" t="s">
        <v>342</v>
      </c>
      <c r="D23" s="7" t="n">
        <v>350883</v>
      </c>
      <c r="E23" s="13" t="s">
        <v>262</v>
      </c>
      <c r="F23" s="9" t="s">
        <v>263</v>
      </c>
      <c r="G23" s="16" t="n">
        <v>46290</v>
      </c>
      <c r="H23" s="7" t="n">
        <f aca="false">INDEX(Tiket_الحجوزات!$L$5:$L$131,MATCH(E23,Tiket_الحجوزات!$B$5:$B$131,0))</f>
        <v>350882.5</v>
      </c>
      <c r="I23" s="22" t="n">
        <f aca="false">D23-H23</f>
        <v>0.5</v>
      </c>
      <c r="J23" s="16" t="n">
        <v>46293</v>
      </c>
    </row>
    <row r="24" customFormat="false" ht="15" hidden="false" customHeight="false" outlineLevel="0" collapsed="false">
      <c r="A24" s="13" t="n">
        <v>142</v>
      </c>
      <c r="B24" s="16" t="n">
        <v>46293</v>
      </c>
      <c r="C24" s="13" t="s">
        <v>342</v>
      </c>
      <c r="D24" s="7" t="n">
        <v>709650</v>
      </c>
      <c r="E24" s="13" t="s">
        <v>260</v>
      </c>
      <c r="F24" s="9" t="s">
        <v>261</v>
      </c>
      <c r="G24" s="16" t="n">
        <v>46290</v>
      </c>
      <c r="H24" s="7" t="n">
        <f aca="false">INDEX(Tiket_الحجوزات!$L$5:$L$131,MATCH(E24,Tiket_الحجوزات!$B$5:$B$131,0))</f>
        <v>709650</v>
      </c>
      <c r="I24" s="22" t="n">
        <f aca="false">D24-H24</f>
        <v>0</v>
      </c>
      <c r="J24" s="16" t="n">
        <v>46293</v>
      </c>
    </row>
    <row r="25" customFormat="false" ht="15" hidden="false" customHeight="false" outlineLevel="0" collapsed="false">
      <c r="A25" s="13" t="n">
        <v>155</v>
      </c>
      <c r="B25" s="16" t="n">
        <v>46295</v>
      </c>
      <c r="C25" s="13" t="s">
        <v>343</v>
      </c>
      <c r="D25" s="7" t="n">
        <v>350883</v>
      </c>
      <c r="E25" s="13" t="s">
        <v>308</v>
      </c>
      <c r="F25" s="9" t="s">
        <v>309</v>
      </c>
      <c r="G25" s="16" t="n">
        <v>46293</v>
      </c>
      <c r="H25" s="7" t="n">
        <f aca="false">INDEX(Tiket_الحجوزات!$L$5:$L$131,MATCH(E25,Tiket_الحجوزات!$B$5:$B$131,0))</f>
        <v>350882.5</v>
      </c>
      <c r="I25" s="22" t="n">
        <f aca="false">D25-H25</f>
        <v>0.5</v>
      </c>
      <c r="J25" s="16" t="n">
        <v>46294</v>
      </c>
    </row>
    <row r="26" customFormat="false" ht="15" hidden="false" customHeight="false" outlineLevel="0" collapsed="false">
      <c r="A26" s="13" t="n">
        <v>156</v>
      </c>
      <c r="B26" s="16" t="n">
        <v>46295</v>
      </c>
      <c r="C26" s="13" t="s">
        <v>344</v>
      </c>
      <c r="D26" s="7" t="n">
        <v>350883</v>
      </c>
      <c r="E26" s="13" t="s">
        <v>302</v>
      </c>
      <c r="F26" s="9" t="s">
        <v>303</v>
      </c>
      <c r="G26" s="16" t="n">
        <v>46293</v>
      </c>
      <c r="H26" s="7" t="n">
        <f aca="false">INDEX(Tiket_الحجوزات!$L$5:$L$131,MATCH(E26,Tiket_الحجوزات!$B$5:$B$131,0))</f>
        <v>350882.5</v>
      </c>
      <c r="I26" s="22" t="n">
        <f aca="false">D26-H26</f>
        <v>0.5</v>
      </c>
      <c r="J26" s="16" t="n">
        <v>46294</v>
      </c>
    </row>
    <row r="27" customFormat="false" ht="15" hidden="false" customHeight="false" outlineLevel="0" collapsed="false">
      <c r="A27" s="13" t="n">
        <v>157</v>
      </c>
      <c r="B27" s="16" t="n">
        <v>46295</v>
      </c>
      <c r="C27" s="13" t="s">
        <v>345</v>
      </c>
      <c r="D27" s="7" t="n">
        <v>390308</v>
      </c>
      <c r="E27" s="13" t="s">
        <v>312</v>
      </c>
      <c r="F27" s="9" t="s">
        <v>313</v>
      </c>
      <c r="G27" s="16" t="n">
        <v>46293</v>
      </c>
      <c r="H27" s="7" t="n">
        <f aca="false">INDEX(Tiket_الحجوزات!$L$5:$L$131,MATCH(E27,Tiket_الحجوزات!$B$5:$B$131,0))</f>
        <v>390307.5</v>
      </c>
      <c r="I27" s="22" t="n">
        <f aca="false">D27-H27</f>
        <v>0.5</v>
      </c>
      <c r="J27" s="16" t="n">
        <v>46294</v>
      </c>
    </row>
    <row r="28" customFormat="false" ht="15" hidden="false" customHeight="false" outlineLevel="0" collapsed="false">
      <c r="A28" s="13" t="n">
        <v>158</v>
      </c>
      <c r="B28" s="16" t="n">
        <v>46295</v>
      </c>
      <c r="C28" s="13" t="s">
        <v>346</v>
      </c>
      <c r="D28" s="7" t="n">
        <v>390308</v>
      </c>
      <c r="E28" s="13" t="s">
        <v>304</v>
      </c>
      <c r="F28" s="9" t="s">
        <v>305</v>
      </c>
      <c r="G28" s="16" t="n">
        <v>46293</v>
      </c>
      <c r="H28" s="7" t="n">
        <f aca="false">INDEX(Tiket_الحجوزات!$L$5:$L$131,MATCH(E28,Tiket_الحجوزات!$B$5:$B$131,0))</f>
        <v>390307.5</v>
      </c>
      <c r="I28" s="22" t="n">
        <f aca="false">D28-H28</f>
        <v>0.5</v>
      </c>
      <c r="J28" s="16" t="n">
        <v>46294</v>
      </c>
    </row>
    <row r="29" customFormat="false" ht="15" hidden="false" customHeight="false" outlineLevel="0" collapsed="false">
      <c r="A29" s="13" t="n">
        <v>159</v>
      </c>
      <c r="B29" s="16" t="n">
        <v>46295</v>
      </c>
      <c r="C29" s="13" t="s">
        <v>346</v>
      </c>
      <c r="D29" s="7" t="n">
        <v>583490</v>
      </c>
      <c r="E29" s="13" t="s">
        <v>310</v>
      </c>
      <c r="F29" s="9" t="s">
        <v>311</v>
      </c>
      <c r="G29" s="16" t="n">
        <v>46293</v>
      </c>
      <c r="H29" s="7" t="n">
        <f aca="false">INDEX(Tiket_الحجوزات!$L$5:$L$131,MATCH(E29,Tiket_الحجوزات!$B$5:$B$131,0))</f>
        <v>583490</v>
      </c>
      <c r="I29" s="22" t="n">
        <f aca="false">D29-H29</f>
        <v>0</v>
      </c>
      <c r="J29" s="16" t="n">
        <v>46294</v>
      </c>
    </row>
    <row r="30" customFormat="false" ht="15" hidden="false" customHeight="false" outlineLevel="0" collapsed="false">
      <c r="A30" s="13" t="n">
        <v>160</v>
      </c>
      <c r="B30" s="16" t="n">
        <v>46295</v>
      </c>
      <c r="C30" s="13" t="s">
        <v>346</v>
      </c>
      <c r="D30" s="7" t="n">
        <v>433675</v>
      </c>
      <c r="E30" s="13" t="s">
        <v>306</v>
      </c>
      <c r="F30" s="9" t="s">
        <v>307</v>
      </c>
      <c r="G30" s="16" t="n">
        <v>46293</v>
      </c>
      <c r="H30" s="7" t="n">
        <f aca="false">INDEX(Tiket_الحجوزات!$L$5:$L$131,MATCH(E30,Tiket_الحجوزات!$B$5:$B$131,0))</f>
        <v>433675</v>
      </c>
      <c r="I30" s="22" t="n">
        <f aca="false">D30-H30</f>
        <v>0</v>
      </c>
      <c r="J30" s="16" t="n">
        <v>46294</v>
      </c>
    </row>
    <row r="31" customFormat="false" ht="15" hidden="false" customHeight="false" outlineLevel="0" collapsed="false">
      <c r="A31" s="13" t="n">
        <v>163</v>
      </c>
      <c r="B31" s="16" t="n">
        <v>46295</v>
      </c>
      <c r="C31" s="13" t="s">
        <v>347</v>
      </c>
      <c r="D31" s="7" t="n">
        <v>433675</v>
      </c>
      <c r="E31" s="13" t="s">
        <v>314</v>
      </c>
      <c r="F31" s="9" t="s">
        <v>315</v>
      </c>
      <c r="G31" s="16" t="n">
        <v>46294</v>
      </c>
      <c r="H31" s="7" t="n">
        <f aca="false">INDEX(Tiket_الحجوزات!$L$5:$L$131,MATCH(E31,Tiket_الحجوزات!$B$5:$B$131,0))</f>
        <v>433675</v>
      </c>
      <c r="I31" s="22" t="n">
        <f aca="false">D31-H31</f>
        <v>0</v>
      </c>
      <c r="J31" s="16" t="n">
        <v>46295</v>
      </c>
    </row>
    <row r="32" customFormat="false" ht="15" hidden="false" customHeight="true" outlineLevel="0" collapsed="false">
      <c r="A32" s="21" t="s">
        <v>7</v>
      </c>
      <c r="B32" s="21"/>
      <c r="C32" s="21"/>
      <c r="D32" s="11" t="n">
        <f aca="false">SUM(D5:D31)</f>
        <v>13290175</v>
      </c>
      <c r="H32" s="11" t="n">
        <f aca="false">SUM(H5:H31)</f>
        <v>13290167.5</v>
      </c>
      <c r="I32" s="23" t="n">
        <f aca="false">SUM(I5:I31)</f>
        <v>7.5</v>
      </c>
    </row>
  </sheetData>
  <autoFilter ref="A4:J31"/>
  <mergeCells count="1">
    <mergeCell ref="A32:C32"/>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3B8EA5"/>
    <pageSetUpPr fitToPage="true"/>
  </sheetPr>
  <dimension ref="A1:H2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5"/>
    <col collapsed="false" customWidth="true" hidden="false" outlineLevel="0" max="2" min="2" style="0" width="18"/>
    <col collapsed="false" customWidth="true" hidden="false" outlineLevel="0" max="4" min="3" style="0" width="16"/>
    <col collapsed="false" customWidth="true" hidden="false" outlineLevel="0" max="5" min="5" style="0" width="17"/>
    <col collapsed="false" customWidth="true" hidden="false" outlineLevel="0" max="6" min="6" style="0" width="18"/>
    <col collapsed="false" customWidth="true" hidden="false" outlineLevel="0" max="7" min="7" style="0" width="16"/>
    <col collapsed="false" customWidth="true" hidden="false" outlineLevel="0" max="8" min="8" style="0" width="18"/>
  </cols>
  <sheetData>
    <row r="1" customFormat="false" ht="25.5" hidden="false" customHeight="true" outlineLevel="0" collapsed="false">
      <c r="A1" s="1" t="s">
        <v>348</v>
      </c>
    </row>
    <row r="2" customFormat="false" ht="15" hidden="false" customHeight="false" outlineLevel="0" collapsed="false">
      <c r="A2" s="2" t="s">
        <v>349</v>
      </c>
    </row>
    <row r="4" customFormat="false" ht="31.5" hidden="false" customHeight="true" outlineLevel="0" collapsed="false">
      <c r="A4" s="5" t="s">
        <v>58</v>
      </c>
      <c r="B4" s="5" t="s">
        <v>350</v>
      </c>
      <c r="C4" s="5" t="s">
        <v>351</v>
      </c>
      <c r="D4" s="5" t="s">
        <v>352</v>
      </c>
      <c r="E4" s="5" t="s">
        <v>72</v>
      </c>
      <c r="F4" s="5" t="s">
        <v>353</v>
      </c>
      <c r="G4" s="5" t="s">
        <v>71</v>
      </c>
      <c r="H4" s="5" t="s">
        <v>354</v>
      </c>
    </row>
    <row r="5" customFormat="false" ht="15" hidden="false" customHeight="false" outlineLevel="0" collapsed="false">
      <c r="A5" s="13" t="n">
        <v>1</v>
      </c>
      <c r="B5" s="16" t="n">
        <v>46267</v>
      </c>
      <c r="C5" s="8" t="n">
        <v>2026443</v>
      </c>
      <c r="D5" s="13" t="s">
        <v>355</v>
      </c>
      <c r="E5" s="17" t="s">
        <v>77</v>
      </c>
      <c r="F5" s="13" t="s">
        <v>356</v>
      </c>
      <c r="G5" s="13"/>
      <c r="H5" s="13"/>
    </row>
    <row r="6" customFormat="false" ht="15" hidden="false" customHeight="false" outlineLevel="0" collapsed="false">
      <c r="A6" s="13" t="n">
        <v>2</v>
      </c>
      <c r="B6" s="16" t="n">
        <v>46268</v>
      </c>
      <c r="C6" s="8" t="n">
        <v>1052646</v>
      </c>
      <c r="D6" s="13" t="s">
        <v>355</v>
      </c>
      <c r="E6" s="17" t="s">
        <v>77</v>
      </c>
      <c r="F6" s="13" t="s">
        <v>356</v>
      </c>
      <c r="G6" s="13"/>
      <c r="H6" s="13"/>
    </row>
    <row r="7" customFormat="false" ht="15" hidden="false" customHeight="false" outlineLevel="0" collapsed="false">
      <c r="A7" s="13" t="n">
        <v>3</v>
      </c>
      <c r="B7" s="16" t="n">
        <v>46269</v>
      </c>
      <c r="C7" s="8" t="n">
        <v>973797</v>
      </c>
      <c r="D7" s="13"/>
      <c r="E7" s="17" t="s">
        <v>77</v>
      </c>
      <c r="F7" s="13" t="s">
        <v>356</v>
      </c>
      <c r="G7" s="13"/>
      <c r="H7" s="13"/>
    </row>
    <row r="8" customFormat="false" ht="15" hidden="false" customHeight="false" outlineLevel="0" collapsed="false">
      <c r="A8" s="13" t="n">
        <v>4</v>
      </c>
      <c r="B8" s="16" t="n">
        <v>46272</v>
      </c>
      <c r="C8" s="8" t="n">
        <v>7407953</v>
      </c>
      <c r="D8" s="13"/>
      <c r="E8" s="17" t="s">
        <v>77</v>
      </c>
      <c r="F8" s="13" t="s">
        <v>356</v>
      </c>
      <c r="G8" s="13"/>
      <c r="H8" s="13"/>
    </row>
    <row r="9" customFormat="false" ht="15" hidden="false" customHeight="false" outlineLevel="0" collapsed="false">
      <c r="A9" s="13" t="n">
        <v>5</v>
      </c>
      <c r="B9" s="16" t="n">
        <v>46273</v>
      </c>
      <c r="C9" s="8" t="n">
        <v>3280158</v>
      </c>
      <c r="D9" s="13"/>
      <c r="E9" s="17" t="s">
        <v>77</v>
      </c>
      <c r="F9" s="13" t="s">
        <v>356</v>
      </c>
      <c r="G9" s="13"/>
      <c r="H9" s="13"/>
    </row>
    <row r="10" customFormat="false" ht="15" hidden="false" customHeight="false" outlineLevel="0" collapsed="false">
      <c r="A10" s="13" t="n">
        <v>6</v>
      </c>
      <c r="B10" s="16" t="n">
        <v>46274</v>
      </c>
      <c r="C10" s="8" t="n">
        <v>1403529</v>
      </c>
      <c r="D10" s="13"/>
      <c r="E10" s="17" t="s">
        <v>77</v>
      </c>
      <c r="F10" s="13" t="s">
        <v>356</v>
      </c>
      <c r="G10" s="13"/>
      <c r="H10" s="13"/>
    </row>
    <row r="11" customFormat="false" ht="15" hidden="false" customHeight="false" outlineLevel="0" collapsed="false">
      <c r="A11" s="13" t="n">
        <v>7</v>
      </c>
      <c r="B11" s="16" t="n">
        <v>46275</v>
      </c>
      <c r="C11" s="8" t="n">
        <v>583490</v>
      </c>
      <c r="D11" s="13"/>
      <c r="E11" s="17" t="s">
        <v>77</v>
      </c>
      <c r="F11" s="13" t="s">
        <v>356</v>
      </c>
      <c r="G11" s="13"/>
      <c r="H11" s="13"/>
    </row>
    <row r="12" customFormat="false" ht="15" hidden="false" customHeight="false" outlineLevel="0" collapsed="false">
      <c r="A12" s="13" t="n">
        <v>8</v>
      </c>
      <c r="B12" s="16" t="n">
        <v>46276</v>
      </c>
      <c r="C12" s="8" t="n">
        <v>934372</v>
      </c>
      <c r="D12" s="13"/>
      <c r="E12" s="17" t="s">
        <v>77</v>
      </c>
      <c r="F12" s="13" t="s">
        <v>356</v>
      </c>
      <c r="G12" s="13"/>
      <c r="H12" s="13"/>
    </row>
    <row r="13" customFormat="false" ht="15" hidden="false" customHeight="false" outlineLevel="0" collapsed="false">
      <c r="A13" s="13" t="n">
        <v>9</v>
      </c>
      <c r="B13" s="16" t="n">
        <v>46279</v>
      </c>
      <c r="C13" s="8" t="n">
        <v>7798259</v>
      </c>
      <c r="D13" s="13"/>
      <c r="E13" s="17" t="s">
        <v>77</v>
      </c>
      <c r="F13" s="13" t="s">
        <v>356</v>
      </c>
      <c r="G13" s="13"/>
      <c r="H13" s="13"/>
    </row>
    <row r="14" customFormat="false" ht="15" hidden="false" customHeight="false" outlineLevel="0" collapsed="false">
      <c r="A14" s="13" t="n">
        <v>10</v>
      </c>
      <c r="B14" s="16" t="n">
        <v>46280</v>
      </c>
      <c r="C14" s="8" t="n">
        <v>1407472</v>
      </c>
      <c r="D14" s="13"/>
      <c r="E14" s="17" t="s">
        <v>77</v>
      </c>
      <c r="F14" s="13" t="s">
        <v>356</v>
      </c>
      <c r="G14" s="13"/>
      <c r="H14" s="13"/>
    </row>
    <row r="15" customFormat="false" ht="15" hidden="false" customHeight="false" outlineLevel="0" collapsed="false">
      <c r="A15" s="13" t="n">
        <v>11</v>
      </c>
      <c r="B15" s="16" t="n">
        <v>46281</v>
      </c>
      <c r="C15" s="8" t="n">
        <v>823982</v>
      </c>
      <c r="D15" s="13"/>
      <c r="E15" s="17" t="s">
        <v>77</v>
      </c>
      <c r="F15" s="13" t="s">
        <v>356</v>
      </c>
      <c r="G15" s="13"/>
      <c r="H15" s="13"/>
    </row>
    <row r="16" customFormat="false" ht="15" hidden="false" customHeight="false" outlineLevel="0" collapsed="false">
      <c r="A16" s="13" t="n">
        <v>12</v>
      </c>
      <c r="B16" s="16" t="n">
        <v>46282</v>
      </c>
      <c r="C16" s="8" t="n">
        <v>390307</v>
      </c>
      <c r="D16" s="13"/>
      <c r="E16" s="17" t="s">
        <v>77</v>
      </c>
      <c r="F16" s="13" t="s">
        <v>356</v>
      </c>
      <c r="G16" s="13"/>
      <c r="H16" s="13"/>
    </row>
    <row r="17" customFormat="false" ht="15" hidden="false" customHeight="false" outlineLevel="0" collapsed="false">
      <c r="A17" s="13" t="n">
        <v>13</v>
      </c>
      <c r="B17" s="16" t="n">
        <v>46283</v>
      </c>
      <c r="C17" s="8" t="n">
        <v>583490</v>
      </c>
      <c r="D17" s="13"/>
      <c r="E17" s="17" t="s">
        <v>77</v>
      </c>
      <c r="F17" s="13" t="s">
        <v>356</v>
      </c>
      <c r="G17" s="13"/>
      <c r="H17" s="13"/>
    </row>
    <row r="18" customFormat="false" ht="15" hidden="false" customHeight="false" outlineLevel="0" collapsed="false">
      <c r="A18" s="13" t="n">
        <v>14</v>
      </c>
      <c r="B18" s="16" t="n">
        <v>46286</v>
      </c>
      <c r="C18" s="8" t="n">
        <v>1718928</v>
      </c>
      <c r="D18" s="13"/>
      <c r="E18" s="17" t="s">
        <v>77</v>
      </c>
      <c r="F18" s="13" t="s">
        <v>356</v>
      </c>
      <c r="G18" s="13"/>
      <c r="H18" s="13"/>
    </row>
    <row r="19" customFormat="false" ht="15" hidden="false" customHeight="false" outlineLevel="0" collapsed="false">
      <c r="A19" s="13" t="n">
        <v>15</v>
      </c>
      <c r="B19" s="16" t="n">
        <v>46287</v>
      </c>
      <c r="C19" s="8" t="n">
        <v>1166980</v>
      </c>
      <c r="D19" s="13"/>
      <c r="E19" s="19" t="s">
        <v>251</v>
      </c>
      <c r="F19" s="16" t="n">
        <v>46287</v>
      </c>
      <c r="G19" s="7" t="n">
        <f aca="false">SUMIFS(Tiket_كشف_BNI!$D$5:$D$31,Tiket_كشف_BNI!$J$5:$J$31,B19)</f>
        <v>1166980</v>
      </c>
      <c r="H19" s="7" t="n">
        <f aca="false">G19-C19</f>
        <v>0</v>
      </c>
    </row>
    <row r="20" customFormat="false" ht="15" hidden="false" customHeight="false" outlineLevel="0" collapsed="false">
      <c r="A20" s="13" t="n">
        <v>16</v>
      </c>
      <c r="B20" s="16" t="n">
        <v>46288</v>
      </c>
      <c r="C20" s="8" t="n">
        <v>390307</v>
      </c>
      <c r="D20" s="13"/>
      <c r="E20" s="19" t="s">
        <v>251</v>
      </c>
      <c r="F20" s="16" t="n">
        <v>46288</v>
      </c>
      <c r="G20" s="7" t="n">
        <f aca="false">SUMIFS(Tiket_كشف_BNI!$D$5:$D$31,Tiket_كشف_BNI!$J$5:$J$31,B20)</f>
        <v>390308</v>
      </c>
      <c r="H20" s="7" t="n">
        <f aca="false">G20-C20</f>
        <v>1</v>
      </c>
    </row>
    <row r="21" customFormat="false" ht="15" hidden="false" customHeight="false" outlineLevel="0" collapsed="false">
      <c r="A21" s="13" t="n">
        <v>17</v>
      </c>
      <c r="B21" s="16" t="n">
        <v>46289</v>
      </c>
      <c r="C21" s="8" t="n">
        <v>433675</v>
      </c>
      <c r="D21" s="13"/>
      <c r="E21" s="19" t="s">
        <v>251</v>
      </c>
      <c r="F21" s="16" t="n">
        <v>46289</v>
      </c>
      <c r="G21" s="7" t="n">
        <f aca="false">SUMIFS(Tiket_كشف_BNI!$D$5:$D$31,Tiket_كشف_BNI!$J$5:$J$31,B21)</f>
        <v>433675</v>
      </c>
      <c r="H21" s="7" t="n">
        <f aca="false">G21-C21</f>
        <v>0</v>
      </c>
    </row>
    <row r="22" customFormat="false" ht="15" hidden="false" customHeight="false" outlineLevel="0" collapsed="false">
      <c r="A22" s="13" t="n">
        <v>18</v>
      </c>
      <c r="B22" s="16" t="n">
        <v>46293</v>
      </c>
      <c r="C22" s="8" t="n">
        <v>8365980</v>
      </c>
      <c r="D22" s="13"/>
      <c r="E22" s="19" t="s">
        <v>251</v>
      </c>
      <c r="F22" s="16" t="n">
        <v>46293</v>
      </c>
      <c r="G22" s="7" t="n">
        <f aca="false">SUMIFS(Tiket_كشف_BNI!$D$5:$D$31,Tiket_كشف_BNI!$J$5:$J$31,B22)</f>
        <v>8365990</v>
      </c>
      <c r="H22" s="7" t="n">
        <f aca="false">G22-C22</f>
        <v>10</v>
      </c>
    </row>
    <row r="23" customFormat="false" ht="15" hidden="false" customHeight="false" outlineLevel="0" collapsed="false">
      <c r="A23" s="13" t="n">
        <v>19</v>
      </c>
      <c r="B23" s="16" t="n">
        <v>46294</v>
      </c>
      <c r="C23" s="8" t="n">
        <v>2499543</v>
      </c>
      <c r="D23" s="13"/>
      <c r="E23" s="19" t="s">
        <v>251</v>
      </c>
      <c r="F23" s="16" t="n">
        <v>46295</v>
      </c>
      <c r="G23" s="7" t="n">
        <f aca="false">SUMIFS(Tiket_كشف_BNI!$D$5:$D$31,Tiket_كشف_BNI!$J$5:$J$31,B23)</f>
        <v>2499547</v>
      </c>
      <c r="H23" s="7" t="n">
        <f aca="false">G23-C23</f>
        <v>4</v>
      </c>
    </row>
    <row r="24" customFormat="false" ht="15" hidden="false" customHeight="false" outlineLevel="0" collapsed="false">
      <c r="A24" s="13" t="n">
        <v>20</v>
      </c>
      <c r="B24" s="16" t="n">
        <v>46295</v>
      </c>
      <c r="C24" s="8" t="n">
        <v>433675</v>
      </c>
      <c r="D24" s="13"/>
      <c r="E24" s="19" t="s">
        <v>251</v>
      </c>
      <c r="F24" s="16" t="n">
        <v>46295</v>
      </c>
      <c r="G24" s="7" t="n">
        <f aca="false">SUMIFS(Tiket_كشف_BNI!$D$5:$D$31,Tiket_كشف_BNI!$J$5:$J$31,B24)</f>
        <v>433675</v>
      </c>
      <c r="H24" s="7" t="n">
        <f aca="false">G24-C24</f>
        <v>0</v>
      </c>
    </row>
    <row r="25" customFormat="false" ht="15" hidden="false" customHeight="true" outlineLevel="0" collapsed="false">
      <c r="A25" s="21" t="s">
        <v>7</v>
      </c>
      <c r="B25" s="21"/>
      <c r="C25" s="11" t="n">
        <f aca="false">SUM(C5:C24)</f>
        <v>43674986</v>
      </c>
      <c r="D25" s="12"/>
      <c r="E25" s="12"/>
      <c r="F25" s="12"/>
      <c r="G25" s="11" t="n">
        <f aca="false">SUM(G5:G24)</f>
        <v>13290175</v>
      </c>
      <c r="H25" s="11" t="n">
        <f aca="false">SUM(H5:H24)</f>
        <v>15</v>
      </c>
    </row>
    <row r="27" customFormat="false" ht="15" hidden="false" customHeight="false" outlineLevel="0" collapsed="false">
      <c r="A27" s="2" t="s">
        <v>357</v>
      </c>
    </row>
  </sheetData>
  <mergeCells count="1">
    <mergeCell ref="A25:B25"/>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2B"/>
    <pageSetUpPr fitToPage="true"/>
  </sheetPr>
  <dimension ref="A1:M113"/>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4" ySplit="4" topLeftCell="E5" activePane="bottomRight" state="frozen"/>
      <selection pane="topLeft" activeCell="A1" activeCellId="0" sqref="A1"/>
      <selection pane="topRight" activeCell="E1" activeCellId="0" sqref="E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3"/>
    <col collapsed="false" customWidth="true" hidden="false" outlineLevel="0" max="2" min="2" style="0" width="20"/>
    <col collapsed="false" customWidth="true" hidden="false" outlineLevel="0" max="3" min="3" style="0" width="13"/>
    <col collapsed="false" customWidth="true" hidden="false" outlineLevel="0" max="4" min="4" style="0" width="28"/>
    <col collapsed="false" customWidth="true" hidden="false" outlineLevel="0" max="6" min="5" style="0" width="13"/>
    <col collapsed="false" customWidth="true" hidden="false" outlineLevel="0" max="7" min="7" style="0" width="11"/>
    <col collapsed="false" customWidth="true" hidden="false" outlineLevel="0" max="8" min="8" style="0" width="15"/>
    <col collapsed="false" customWidth="true" hidden="false" outlineLevel="0" max="9" min="9" style="0" width="13"/>
    <col collapsed="false" customWidth="true" hidden="false" outlineLevel="0" max="11" min="10" style="0" width="12"/>
    <col collapsed="false" customWidth="true" hidden="false" outlineLevel="0" max="12" min="12" style="0" width="14"/>
    <col collapsed="false" customWidth="true" hidden="false" outlineLevel="0" max="13" min="13" style="0" width="17"/>
  </cols>
  <sheetData>
    <row r="1" customFormat="false" ht="25.5" hidden="false" customHeight="true" outlineLevel="0" collapsed="false">
      <c r="A1" s="1" t="s">
        <v>358</v>
      </c>
    </row>
    <row r="2" customFormat="false" ht="15" hidden="false" customHeight="false" outlineLevel="0" collapsed="false">
      <c r="A2" s="2" t="s">
        <v>359</v>
      </c>
    </row>
    <row r="4" customFormat="false" ht="31.5" hidden="false" customHeight="true" outlineLevel="0" collapsed="false">
      <c r="A4" s="5" t="s">
        <v>360</v>
      </c>
      <c r="B4" s="5" t="s">
        <v>361</v>
      </c>
      <c r="C4" s="5" t="s">
        <v>332</v>
      </c>
      <c r="D4" s="5" t="s">
        <v>60</v>
      </c>
      <c r="E4" s="5" t="s">
        <v>62</v>
      </c>
      <c r="F4" s="5" t="s">
        <v>63</v>
      </c>
      <c r="G4" s="5" t="s">
        <v>66</v>
      </c>
      <c r="H4" s="5" t="s">
        <v>362</v>
      </c>
      <c r="I4" s="5" t="s">
        <v>363</v>
      </c>
      <c r="J4" s="5" t="s">
        <v>364</v>
      </c>
      <c r="K4" s="5" t="s">
        <v>365</v>
      </c>
      <c r="L4" s="5" t="s">
        <v>366</v>
      </c>
      <c r="M4" s="5" t="s">
        <v>72</v>
      </c>
    </row>
    <row r="5" customFormat="false" ht="15" hidden="false" customHeight="false" outlineLevel="0" collapsed="false">
      <c r="A5" s="16" t="n">
        <v>46268</v>
      </c>
      <c r="B5" s="13" t="s">
        <v>367</v>
      </c>
      <c r="C5" s="13" t="s">
        <v>368</v>
      </c>
      <c r="D5" s="9" t="s">
        <v>369</v>
      </c>
      <c r="E5" s="16" t="n">
        <v>46266</v>
      </c>
      <c r="F5" s="16" t="n">
        <v>46267</v>
      </c>
      <c r="G5" s="13" t="s">
        <v>370</v>
      </c>
      <c r="H5" s="7" t="n">
        <v>495000</v>
      </c>
      <c r="I5" s="7" t="n">
        <v>-74250</v>
      </c>
      <c r="J5" s="7" t="n">
        <v>-9420</v>
      </c>
      <c r="K5" s="7" t="n">
        <v>-11385</v>
      </c>
      <c r="L5" s="7" t="n">
        <v>399945</v>
      </c>
      <c r="M5" s="17" t="s">
        <v>77</v>
      </c>
    </row>
    <row r="6" customFormat="false" ht="15" hidden="false" customHeight="false" outlineLevel="0" collapsed="false">
      <c r="A6" s="16" t="n">
        <v>46268</v>
      </c>
      <c r="B6" s="13" t="s">
        <v>367</v>
      </c>
      <c r="C6" s="13" t="s">
        <v>371</v>
      </c>
      <c r="D6" s="9" t="s">
        <v>372</v>
      </c>
      <c r="E6" s="16" t="n">
        <v>46266</v>
      </c>
      <c r="F6" s="16" t="n">
        <v>46267</v>
      </c>
      <c r="G6" s="13" t="s">
        <v>370</v>
      </c>
      <c r="H6" s="7" t="n">
        <v>395000</v>
      </c>
      <c r="I6" s="7" t="n">
        <v>-59250</v>
      </c>
      <c r="J6" s="7" t="n">
        <v>-7517</v>
      </c>
      <c r="K6" s="7" t="n">
        <v>-9085</v>
      </c>
      <c r="L6" s="7" t="n">
        <v>319148</v>
      </c>
      <c r="M6" s="17" t="s">
        <v>77</v>
      </c>
    </row>
    <row r="7" customFormat="false" ht="15" hidden="false" customHeight="false" outlineLevel="0" collapsed="false">
      <c r="A7" s="16" t="n">
        <v>46268</v>
      </c>
      <c r="B7" s="13" t="s">
        <v>367</v>
      </c>
      <c r="C7" s="13" t="s">
        <v>373</v>
      </c>
      <c r="D7" s="9" t="s">
        <v>374</v>
      </c>
      <c r="E7" s="16" t="n">
        <v>46266</v>
      </c>
      <c r="F7" s="16" t="n">
        <v>46267</v>
      </c>
      <c r="G7" s="13" t="s">
        <v>370</v>
      </c>
      <c r="H7" s="7" t="n">
        <v>495000</v>
      </c>
      <c r="I7" s="7" t="n">
        <v>-74250</v>
      </c>
      <c r="J7" s="7" t="n">
        <v>-9420</v>
      </c>
      <c r="K7" s="7" t="n">
        <v>-11385</v>
      </c>
      <c r="L7" s="7" t="n">
        <v>399945</v>
      </c>
      <c r="M7" s="17" t="s">
        <v>77</v>
      </c>
    </row>
    <row r="8" customFormat="false" ht="15" hidden="false" customHeight="false" outlineLevel="0" collapsed="false">
      <c r="A8" s="16" t="n">
        <v>46268</v>
      </c>
      <c r="B8" s="13" t="s">
        <v>367</v>
      </c>
      <c r="C8" s="13" t="s">
        <v>375</v>
      </c>
      <c r="D8" s="9" t="s">
        <v>376</v>
      </c>
      <c r="E8" s="16" t="n">
        <v>46266</v>
      </c>
      <c r="F8" s="16" t="n">
        <v>46267</v>
      </c>
      <c r="G8" s="13" t="s">
        <v>370</v>
      </c>
      <c r="H8" s="7" t="n">
        <v>595000</v>
      </c>
      <c r="I8" s="7" t="n">
        <v>-89250</v>
      </c>
      <c r="J8" s="7" t="n">
        <v>-11323</v>
      </c>
      <c r="K8" s="7" t="n">
        <v>-13685</v>
      </c>
      <c r="L8" s="7" t="n">
        <v>480742</v>
      </c>
      <c r="M8" s="17" t="s">
        <v>77</v>
      </c>
    </row>
    <row r="9" customFormat="false" ht="15" hidden="false" customHeight="false" outlineLevel="0" collapsed="false">
      <c r="A9" s="16" t="n">
        <v>46268</v>
      </c>
      <c r="B9" s="13" t="s">
        <v>367</v>
      </c>
      <c r="C9" s="13" t="s">
        <v>377</v>
      </c>
      <c r="D9" s="9" t="s">
        <v>378</v>
      </c>
      <c r="E9" s="16" t="n">
        <v>46266</v>
      </c>
      <c r="F9" s="16" t="n">
        <v>46267</v>
      </c>
      <c r="G9" s="13" t="s">
        <v>370</v>
      </c>
      <c r="H9" s="7" t="n">
        <v>495000</v>
      </c>
      <c r="I9" s="7" t="n">
        <v>-74250</v>
      </c>
      <c r="J9" s="7" t="n">
        <v>-9420</v>
      </c>
      <c r="K9" s="7" t="n">
        <v>-11385</v>
      </c>
      <c r="L9" s="7" t="n">
        <v>399945</v>
      </c>
      <c r="M9" s="17" t="s">
        <v>77</v>
      </c>
    </row>
    <row r="10" customFormat="false" ht="15" hidden="false" customHeight="false" outlineLevel="0" collapsed="false">
      <c r="A10" s="16" t="n">
        <v>46268</v>
      </c>
      <c r="B10" s="13" t="s">
        <v>367</v>
      </c>
      <c r="C10" s="13" t="s">
        <v>379</v>
      </c>
      <c r="D10" s="9" t="s">
        <v>380</v>
      </c>
      <c r="E10" s="16" t="n">
        <v>46265</v>
      </c>
      <c r="F10" s="16" t="n">
        <v>46266</v>
      </c>
      <c r="G10" s="13" t="s">
        <v>370</v>
      </c>
      <c r="H10" s="7" t="n">
        <v>475000</v>
      </c>
      <c r="I10" s="7" t="n">
        <v>-71250</v>
      </c>
      <c r="J10" s="7" t="n">
        <v>-9040</v>
      </c>
      <c r="K10" s="7" t="n">
        <v>-10925</v>
      </c>
      <c r="L10" s="7" t="n">
        <v>383785</v>
      </c>
      <c r="M10" s="17" t="s">
        <v>77</v>
      </c>
    </row>
    <row r="11" customFormat="false" ht="15" hidden="false" customHeight="false" outlineLevel="0" collapsed="false">
      <c r="A11" s="16" t="n">
        <v>46268</v>
      </c>
      <c r="B11" s="13" t="s">
        <v>367</v>
      </c>
      <c r="C11" s="13" t="s">
        <v>381</v>
      </c>
      <c r="D11" s="9" t="s">
        <v>382</v>
      </c>
      <c r="E11" s="16" t="n">
        <v>46264</v>
      </c>
      <c r="F11" s="16" t="n">
        <v>46265</v>
      </c>
      <c r="G11" s="13" t="s">
        <v>370</v>
      </c>
      <c r="H11" s="7" t="n">
        <v>570000</v>
      </c>
      <c r="I11" s="7" t="n">
        <v>-85500</v>
      </c>
      <c r="J11" s="7" t="n">
        <v>-10847</v>
      </c>
      <c r="K11" s="7" t="n">
        <v>-13110</v>
      </c>
      <c r="L11" s="7" t="n">
        <v>460543</v>
      </c>
      <c r="M11" s="17" t="s">
        <v>77</v>
      </c>
    </row>
    <row r="12" customFormat="false" ht="15" hidden="false" customHeight="false" outlineLevel="0" collapsed="false">
      <c r="A12" s="16" t="n">
        <v>46268</v>
      </c>
      <c r="B12" s="13" t="s">
        <v>367</v>
      </c>
      <c r="C12" s="13" t="s">
        <v>383</v>
      </c>
      <c r="D12" s="9" t="s">
        <v>384</v>
      </c>
      <c r="E12" s="16" t="n">
        <v>46264</v>
      </c>
      <c r="F12" s="16" t="n">
        <v>46265</v>
      </c>
      <c r="G12" s="13" t="s">
        <v>385</v>
      </c>
      <c r="H12" s="7" t="n">
        <v>375000</v>
      </c>
      <c r="I12" s="7" t="n">
        <v>-56250</v>
      </c>
      <c r="J12" s="7" t="n">
        <v>-7137</v>
      </c>
      <c r="K12" s="7" t="n">
        <v>-8625</v>
      </c>
      <c r="L12" s="7" t="n">
        <v>302988</v>
      </c>
      <c r="M12" s="17" t="s">
        <v>77</v>
      </c>
    </row>
    <row r="13" customFormat="false" ht="15" hidden="false" customHeight="false" outlineLevel="0" collapsed="false">
      <c r="A13" s="16" t="n">
        <v>46268</v>
      </c>
      <c r="B13" s="13" t="s">
        <v>367</v>
      </c>
      <c r="C13" s="13" t="s">
        <v>386</v>
      </c>
      <c r="D13" s="9" t="s">
        <v>387</v>
      </c>
      <c r="E13" s="16" t="n">
        <v>46264</v>
      </c>
      <c r="F13" s="16" t="n">
        <v>46265</v>
      </c>
      <c r="G13" s="13" t="s">
        <v>370</v>
      </c>
      <c r="H13" s="7" t="n">
        <v>475000</v>
      </c>
      <c r="I13" s="7" t="n">
        <v>-71250</v>
      </c>
      <c r="J13" s="7" t="n">
        <v>-9040</v>
      </c>
      <c r="K13" s="7" t="n">
        <v>-10925</v>
      </c>
      <c r="L13" s="7" t="n">
        <v>383785</v>
      </c>
      <c r="M13" s="17" t="s">
        <v>77</v>
      </c>
    </row>
    <row r="14" customFormat="false" ht="15" hidden="false" customHeight="false" outlineLevel="0" collapsed="false">
      <c r="A14" s="16" t="n">
        <v>46268</v>
      </c>
      <c r="B14" s="13" t="s">
        <v>367</v>
      </c>
      <c r="C14" s="13" t="s">
        <v>388</v>
      </c>
      <c r="D14" s="9" t="s">
        <v>389</v>
      </c>
      <c r="E14" s="16" t="n">
        <v>46264</v>
      </c>
      <c r="F14" s="16" t="n">
        <v>46265</v>
      </c>
      <c r="G14" s="13" t="s">
        <v>370</v>
      </c>
      <c r="H14" s="7" t="n">
        <v>475000</v>
      </c>
      <c r="I14" s="7" t="n">
        <v>-71250</v>
      </c>
      <c r="J14" s="7" t="n">
        <v>-9040</v>
      </c>
      <c r="K14" s="7" t="n">
        <v>-10925</v>
      </c>
      <c r="L14" s="7" t="n">
        <v>383785</v>
      </c>
      <c r="M14" s="17" t="s">
        <v>77</v>
      </c>
    </row>
    <row r="15" customFormat="false" ht="15" hidden="false" customHeight="false" outlineLevel="0" collapsed="false">
      <c r="A15" s="16" t="n">
        <v>46268</v>
      </c>
      <c r="B15" s="13" t="s">
        <v>367</v>
      </c>
      <c r="C15" s="13" t="s">
        <v>390</v>
      </c>
      <c r="D15" s="9" t="s">
        <v>391</v>
      </c>
      <c r="E15" s="16" t="n">
        <v>46264</v>
      </c>
      <c r="F15" s="16" t="n">
        <v>46265</v>
      </c>
      <c r="G15" s="13" t="s">
        <v>385</v>
      </c>
      <c r="H15" s="7" t="n">
        <v>375000</v>
      </c>
      <c r="I15" s="7" t="n">
        <v>-56250</v>
      </c>
      <c r="J15" s="7" t="n">
        <v>-7137</v>
      </c>
      <c r="K15" s="7" t="n">
        <v>-8625</v>
      </c>
      <c r="L15" s="7" t="n">
        <v>302988</v>
      </c>
      <c r="M15" s="17" t="s">
        <v>77</v>
      </c>
    </row>
    <row r="16" customFormat="false" ht="15" hidden="false" customHeight="false" outlineLevel="0" collapsed="false">
      <c r="A16" s="16" t="n">
        <v>46268</v>
      </c>
      <c r="B16" s="13" t="s">
        <v>367</v>
      </c>
      <c r="C16" s="13" t="s">
        <v>392</v>
      </c>
      <c r="D16" s="9" t="s">
        <v>393</v>
      </c>
      <c r="E16" s="16" t="n">
        <v>46264</v>
      </c>
      <c r="F16" s="16" t="n">
        <v>46265</v>
      </c>
      <c r="G16" s="13" t="s">
        <v>370</v>
      </c>
      <c r="H16" s="7" t="n">
        <v>475000</v>
      </c>
      <c r="I16" s="7" t="n">
        <v>-71250</v>
      </c>
      <c r="J16" s="7" t="n">
        <v>-9040</v>
      </c>
      <c r="K16" s="7" t="n">
        <v>-10925</v>
      </c>
      <c r="L16" s="7" t="n">
        <v>383785</v>
      </c>
      <c r="M16" s="17" t="s">
        <v>77</v>
      </c>
    </row>
    <row r="17" customFormat="false" ht="15" hidden="false" customHeight="false" outlineLevel="0" collapsed="false">
      <c r="A17" s="16" t="n">
        <v>46268</v>
      </c>
      <c r="B17" s="13" t="s">
        <v>367</v>
      </c>
      <c r="C17" s="13" t="s">
        <v>394</v>
      </c>
      <c r="D17" s="9" t="s">
        <v>395</v>
      </c>
      <c r="E17" s="16" t="n">
        <v>46264</v>
      </c>
      <c r="F17" s="16" t="n">
        <v>46265</v>
      </c>
      <c r="G17" s="13" t="s">
        <v>385</v>
      </c>
      <c r="H17" s="7" t="n">
        <v>375000</v>
      </c>
      <c r="I17" s="7" t="n">
        <v>-56250</v>
      </c>
      <c r="J17" s="7" t="n">
        <v>-7137</v>
      </c>
      <c r="K17" s="7" t="n">
        <v>-8625</v>
      </c>
      <c r="L17" s="7" t="n">
        <v>302988</v>
      </c>
      <c r="M17" s="17" t="s">
        <v>77</v>
      </c>
    </row>
    <row r="18" customFormat="false" ht="15" hidden="false" customHeight="false" outlineLevel="0" collapsed="false">
      <c r="A18" s="16" t="n">
        <v>46268</v>
      </c>
      <c r="B18" s="13" t="s">
        <v>367</v>
      </c>
      <c r="C18" s="13" t="s">
        <v>396</v>
      </c>
      <c r="D18" s="9" t="s">
        <v>397</v>
      </c>
      <c r="E18" s="16" t="n">
        <v>46263</v>
      </c>
      <c r="F18" s="16" t="n">
        <v>46264</v>
      </c>
      <c r="G18" s="13" t="s">
        <v>370</v>
      </c>
      <c r="H18" s="7" t="n">
        <v>545000</v>
      </c>
      <c r="I18" s="7" t="n">
        <v>-81750</v>
      </c>
      <c r="J18" s="7" t="n">
        <v>-10372</v>
      </c>
      <c r="K18" s="7" t="n">
        <v>-12535</v>
      </c>
      <c r="L18" s="7" t="n">
        <v>440343</v>
      </c>
      <c r="M18" s="17" t="s">
        <v>77</v>
      </c>
    </row>
    <row r="19" customFormat="false" ht="15" hidden="false" customHeight="false" outlineLevel="0" collapsed="false">
      <c r="A19" s="16" t="n">
        <v>46268</v>
      </c>
      <c r="B19" s="13" t="s">
        <v>367</v>
      </c>
      <c r="C19" s="13" t="s">
        <v>398</v>
      </c>
      <c r="D19" s="9" t="s">
        <v>399</v>
      </c>
      <c r="E19" s="16" t="n">
        <v>46263</v>
      </c>
      <c r="F19" s="16" t="n">
        <v>46264</v>
      </c>
      <c r="G19" s="13" t="s">
        <v>370</v>
      </c>
      <c r="H19" s="7" t="n">
        <v>445000</v>
      </c>
      <c r="I19" s="7" t="n">
        <v>-66750</v>
      </c>
      <c r="J19" s="7" t="n">
        <v>-8469</v>
      </c>
      <c r="K19" s="7" t="n">
        <v>-10235</v>
      </c>
      <c r="L19" s="7" t="n">
        <v>359546</v>
      </c>
      <c r="M19" s="17" t="s">
        <v>77</v>
      </c>
    </row>
    <row r="20" customFormat="false" ht="15" hidden="false" customHeight="false" outlineLevel="0" collapsed="false">
      <c r="A20" s="16" t="n">
        <v>46268</v>
      </c>
      <c r="B20" s="13" t="s">
        <v>367</v>
      </c>
      <c r="C20" s="13" t="s">
        <v>400</v>
      </c>
      <c r="D20" s="9" t="s">
        <v>401</v>
      </c>
      <c r="E20" s="16" t="n">
        <v>46263</v>
      </c>
      <c r="F20" s="16" t="n">
        <v>46264</v>
      </c>
      <c r="G20" s="13" t="s">
        <v>370</v>
      </c>
      <c r="H20" s="7" t="n">
        <v>645000</v>
      </c>
      <c r="I20" s="7" t="n">
        <v>-96750</v>
      </c>
      <c r="J20" s="7" t="n">
        <v>-12275</v>
      </c>
      <c r="K20" s="7" t="n">
        <v>-14835</v>
      </c>
      <c r="L20" s="7" t="n">
        <v>521140</v>
      </c>
      <c r="M20" s="17" t="s">
        <v>77</v>
      </c>
    </row>
    <row r="21" customFormat="false" ht="15" hidden="false" customHeight="false" outlineLevel="0" collapsed="false">
      <c r="A21" s="16" t="n">
        <v>46268</v>
      </c>
      <c r="B21" s="13" t="s">
        <v>367</v>
      </c>
      <c r="C21" s="13" t="s">
        <v>402</v>
      </c>
      <c r="D21" s="9" t="s">
        <v>403</v>
      </c>
      <c r="E21" s="16" t="n">
        <v>46263</v>
      </c>
      <c r="F21" s="16" t="n">
        <v>46264</v>
      </c>
      <c r="G21" s="13" t="s">
        <v>370</v>
      </c>
      <c r="H21" s="7" t="n">
        <v>545000</v>
      </c>
      <c r="I21" s="7" t="n">
        <v>-81750</v>
      </c>
      <c r="J21" s="7" t="n">
        <v>-10372</v>
      </c>
      <c r="K21" s="7" t="n">
        <v>-12535</v>
      </c>
      <c r="L21" s="7" t="n">
        <v>440343</v>
      </c>
      <c r="M21" s="17" t="s">
        <v>77</v>
      </c>
    </row>
    <row r="22" customFormat="false" ht="15" hidden="false" customHeight="false" outlineLevel="0" collapsed="false">
      <c r="A22" s="16" t="n">
        <v>46268</v>
      </c>
      <c r="B22" s="13" t="s">
        <v>367</v>
      </c>
      <c r="C22" s="13" t="s">
        <v>404</v>
      </c>
      <c r="D22" s="9" t="s">
        <v>405</v>
      </c>
      <c r="E22" s="16" t="n">
        <v>46263</v>
      </c>
      <c r="F22" s="16" t="n">
        <v>46264</v>
      </c>
      <c r="G22" s="13" t="s">
        <v>370</v>
      </c>
      <c r="H22" s="7" t="n">
        <v>545000</v>
      </c>
      <c r="I22" s="7" t="n">
        <v>-81750</v>
      </c>
      <c r="J22" s="7" t="n">
        <v>-10372</v>
      </c>
      <c r="K22" s="7" t="n">
        <v>-12535</v>
      </c>
      <c r="L22" s="7" t="n">
        <v>440343</v>
      </c>
      <c r="M22" s="17" t="s">
        <v>77</v>
      </c>
    </row>
    <row r="23" customFormat="false" ht="15" hidden="false" customHeight="false" outlineLevel="0" collapsed="false">
      <c r="A23" s="16" t="n">
        <v>46268</v>
      </c>
      <c r="B23" s="13" t="s">
        <v>367</v>
      </c>
      <c r="C23" s="13" t="s">
        <v>406</v>
      </c>
      <c r="D23" s="9" t="s">
        <v>407</v>
      </c>
      <c r="E23" s="16" t="n">
        <v>46262</v>
      </c>
      <c r="F23" s="16" t="n">
        <v>46264</v>
      </c>
      <c r="G23" s="13" t="s">
        <v>370</v>
      </c>
      <c r="H23" s="7" t="n">
        <v>1290000</v>
      </c>
      <c r="I23" s="7" t="n">
        <v>-193500</v>
      </c>
      <c r="J23" s="7" t="n">
        <v>-24549</v>
      </c>
      <c r="K23" s="7" t="n">
        <v>-29670</v>
      </c>
      <c r="L23" s="7" t="n">
        <v>1042281</v>
      </c>
      <c r="M23" s="17" t="s">
        <v>77</v>
      </c>
    </row>
    <row r="24" customFormat="false" ht="15" hidden="false" customHeight="false" outlineLevel="0" collapsed="false">
      <c r="A24" s="16" t="n">
        <v>46268</v>
      </c>
      <c r="B24" s="13" t="s">
        <v>367</v>
      </c>
      <c r="C24" s="13" t="s">
        <v>408</v>
      </c>
      <c r="D24" s="9" t="s">
        <v>409</v>
      </c>
      <c r="E24" s="16" t="n">
        <v>46262</v>
      </c>
      <c r="F24" s="16" t="n">
        <v>46263</v>
      </c>
      <c r="G24" s="13" t="s">
        <v>370</v>
      </c>
      <c r="H24" s="7" t="n">
        <v>545000</v>
      </c>
      <c r="I24" s="7" t="n">
        <v>-81750</v>
      </c>
      <c r="J24" s="7" t="n">
        <v>-10372</v>
      </c>
      <c r="K24" s="7" t="n">
        <v>-12535</v>
      </c>
      <c r="L24" s="7" t="n">
        <v>440343</v>
      </c>
      <c r="M24" s="17" t="s">
        <v>77</v>
      </c>
    </row>
    <row r="25" customFormat="false" ht="15" hidden="false" customHeight="false" outlineLevel="0" collapsed="false">
      <c r="A25" s="16" t="n">
        <v>46268</v>
      </c>
      <c r="B25" s="13" t="s">
        <v>367</v>
      </c>
      <c r="C25" s="13" t="s">
        <v>410</v>
      </c>
      <c r="D25" s="9" t="s">
        <v>411</v>
      </c>
      <c r="E25" s="16" t="n">
        <v>46261</v>
      </c>
      <c r="F25" s="16" t="n">
        <v>46262</v>
      </c>
      <c r="G25" s="13" t="s">
        <v>370</v>
      </c>
      <c r="H25" s="7" t="n">
        <v>475000</v>
      </c>
      <c r="I25" s="7" t="n">
        <v>-71250</v>
      </c>
      <c r="J25" s="7" t="n">
        <v>-9040</v>
      </c>
      <c r="K25" s="7" t="n">
        <v>-10925</v>
      </c>
      <c r="L25" s="7" t="n">
        <v>383785</v>
      </c>
      <c r="M25" s="17" t="s">
        <v>77</v>
      </c>
    </row>
    <row r="26" customFormat="false" ht="15" hidden="false" customHeight="false" outlineLevel="0" collapsed="false">
      <c r="A26" s="16" t="n">
        <v>46268</v>
      </c>
      <c r="B26" s="13" t="s">
        <v>367</v>
      </c>
      <c r="C26" s="13" t="s">
        <v>412</v>
      </c>
      <c r="D26" s="9" t="s">
        <v>413</v>
      </c>
      <c r="E26" s="16" t="n">
        <v>46261</v>
      </c>
      <c r="F26" s="16" t="n">
        <v>46262</v>
      </c>
      <c r="G26" s="13" t="s">
        <v>370</v>
      </c>
      <c r="H26" s="7" t="n">
        <v>475000</v>
      </c>
      <c r="I26" s="7" t="n">
        <v>-71250</v>
      </c>
      <c r="J26" s="7" t="n">
        <v>-9040</v>
      </c>
      <c r="K26" s="7" t="n">
        <v>-10925</v>
      </c>
      <c r="L26" s="7" t="n">
        <v>383785</v>
      </c>
      <c r="M26" s="17" t="s">
        <v>77</v>
      </c>
    </row>
    <row r="27" customFormat="false" ht="15" hidden="false" customHeight="false" outlineLevel="0" collapsed="false">
      <c r="A27" s="16" t="n">
        <v>46268</v>
      </c>
      <c r="B27" s="13" t="s">
        <v>367</v>
      </c>
      <c r="C27" s="13" t="s">
        <v>414</v>
      </c>
      <c r="D27" s="9" t="s">
        <v>415</v>
      </c>
      <c r="E27" s="16" t="n">
        <v>46261</v>
      </c>
      <c r="F27" s="16" t="n">
        <v>46262</v>
      </c>
      <c r="G27" s="13" t="s">
        <v>370</v>
      </c>
      <c r="H27" s="7" t="n">
        <v>475000</v>
      </c>
      <c r="I27" s="7" t="n">
        <v>-71250</v>
      </c>
      <c r="J27" s="7" t="n">
        <v>-9040</v>
      </c>
      <c r="K27" s="7" t="n">
        <v>-10925</v>
      </c>
      <c r="L27" s="7" t="n">
        <v>383785</v>
      </c>
      <c r="M27" s="17" t="s">
        <v>77</v>
      </c>
    </row>
    <row r="28" customFormat="false" ht="15" hidden="false" customHeight="false" outlineLevel="0" collapsed="false">
      <c r="A28" s="16" t="n">
        <v>46268</v>
      </c>
      <c r="B28" s="13" t="s">
        <v>367</v>
      </c>
      <c r="C28" s="13" t="s">
        <v>416</v>
      </c>
      <c r="D28" s="9" t="s">
        <v>417</v>
      </c>
      <c r="E28" s="16" t="n">
        <v>46260</v>
      </c>
      <c r="F28" s="16" t="n">
        <v>46261</v>
      </c>
      <c r="G28" s="13" t="s">
        <v>370</v>
      </c>
      <c r="H28" s="7" t="n">
        <v>570000</v>
      </c>
      <c r="I28" s="7" t="n">
        <v>-85500</v>
      </c>
      <c r="J28" s="7" t="n">
        <v>-10847</v>
      </c>
      <c r="K28" s="7" t="n">
        <v>-13110</v>
      </c>
      <c r="L28" s="7" t="n">
        <v>460543</v>
      </c>
      <c r="M28" s="17" t="s">
        <v>77</v>
      </c>
    </row>
    <row r="29" customFormat="false" ht="15" hidden="false" customHeight="false" outlineLevel="0" collapsed="false">
      <c r="A29" s="16" t="n">
        <v>46268</v>
      </c>
      <c r="B29" s="13" t="s">
        <v>367</v>
      </c>
      <c r="C29" s="13" t="s">
        <v>418</v>
      </c>
      <c r="D29" s="9" t="s">
        <v>419</v>
      </c>
      <c r="E29" s="16" t="n">
        <v>46260</v>
      </c>
      <c r="F29" s="16" t="n">
        <v>46261</v>
      </c>
      <c r="G29" s="13" t="s">
        <v>370</v>
      </c>
      <c r="H29" s="7" t="n">
        <v>950000</v>
      </c>
      <c r="I29" s="7" t="n">
        <v>-142500</v>
      </c>
      <c r="J29" s="7" t="n">
        <v>-18080</v>
      </c>
      <c r="K29" s="7" t="n">
        <v>-21850</v>
      </c>
      <c r="L29" s="7" t="n">
        <v>767570</v>
      </c>
      <c r="M29" s="17" t="s">
        <v>77</v>
      </c>
    </row>
    <row r="30" customFormat="false" ht="15" hidden="false" customHeight="false" outlineLevel="0" collapsed="false">
      <c r="A30" s="16" t="n">
        <v>46268</v>
      </c>
      <c r="B30" s="13" t="s">
        <v>367</v>
      </c>
      <c r="C30" s="13" t="s">
        <v>420</v>
      </c>
      <c r="D30" s="9" t="s">
        <v>421</v>
      </c>
      <c r="E30" s="16" t="n">
        <v>46260</v>
      </c>
      <c r="F30" s="16" t="n">
        <v>46261</v>
      </c>
      <c r="G30" s="13" t="s">
        <v>370</v>
      </c>
      <c r="H30" s="7" t="n">
        <v>375000</v>
      </c>
      <c r="I30" s="7" t="n">
        <v>-56250</v>
      </c>
      <c r="J30" s="7" t="n">
        <v>-7137</v>
      </c>
      <c r="K30" s="7" t="n">
        <v>-8625</v>
      </c>
      <c r="L30" s="7" t="n">
        <v>302988</v>
      </c>
      <c r="M30" s="17" t="s">
        <v>77</v>
      </c>
    </row>
    <row r="31" customFormat="false" ht="15" hidden="false" customHeight="false" outlineLevel="0" collapsed="false">
      <c r="A31" s="16" t="n">
        <v>46268</v>
      </c>
      <c r="B31" s="13" t="s">
        <v>367</v>
      </c>
      <c r="C31" s="13" t="s">
        <v>422</v>
      </c>
      <c r="D31" s="9" t="s">
        <v>423</v>
      </c>
      <c r="E31" s="16" t="n">
        <v>46260</v>
      </c>
      <c r="F31" s="16" t="n">
        <v>46261</v>
      </c>
      <c r="G31" s="13" t="s">
        <v>370</v>
      </c>
      <c r="H31" s="7" t="n">
        <v>475000</v>
      </c>
      <c r="I31" s="7" t="n">
        <v>-71250</v>
      </c>
      <c r="J31" s="7" t="n">
        <v>-9040</v>
      </c>
      <c r="K31" s="7" t="n">
        <v>-10925</v>
      </c>
      <c r="L31" s="7" t="n">
        <v>383785</v>
      </c>
      <c r="M31" s="17" t="s">
        <v>77</v>
      </c>
    </row>
    <row r="32" customFormat="false" ht="15" hidden="false" customHeight="false" outlineLevel="0" collapsed="false">
      <c r="A32" s="16" t="n">
        <v>46275</v>
      </c>
      <c r="B32" s="13" t="s">
        <v>424</v>
      </c>
      <c r="C32" s="13" t="s">
        <v>425</v>
      </c>
      <c r="D32" s="9" t="s">
        <v>426</v>
      </c>
      <c r="E32" s="16" t="n">
        <v>46273</v>
      </c>
      <c r="F32" s="16" t="n">
        <v>46274</v>
      </c>
      <c r="G32" s="13" t="s">
        <v>370</v>
      </c>
      <c r="H32" s="7" t="n">
        <v>495000</v>
      </c>
      <c r="I32" s="7" t="n">
        <v>-74250</v>
      </c>
      <c r="J32" s="7" t="n">
        <v>-9420</v>
      </c>
      <c r="K32" s="7" t="n">
        <v>-11385</v>
      </c>
      <c r="L32" s="7" t="n">
        <v>399945</v>
      </c>
      <c r="M32" s="17" t="s">
        <v>77</v>
      </c>
    </row>
    <row r="33" customFormat="false" ht="15" hidden="false" customHeight="false" outlineLevel="0" collapsed="false">
      <c r="A33" s="16" t="n">
        <v>46275</v>
      </c>
      <c r="B33" s="13" t="s">
        <v>424</v>
      </c>
      <c r="C33" s="13" t="s">
        <v>427</v>
      </c>
      <c r="D33" s="9" t="s">
        <v>428</v>
      </c>
      <c r="E33" s="16" t="n">
        <v>46273</v>
      </c>
      <c r="F33" s="16" t="n">
        <v>46274</v>
      </c>
      <c r="G33" s="13" t="s">
        <v>370</v>
      </c>
      <c r="H33" s="7" t="n">
        <v>495000</v>
      </c>
      <c r="I33" s="7" t="n">
        <v>-74250</v>
      </c>
      <c r="J33" s="7" t="n">
        <v>-9420</v>
      </c>
      <c r="K33" s="7" t="n">
        <v>-11385</v>
      </c>
      <c r="L33" s="7" t="n">
        <v>399945</v>
      </c>
      <c r="M33" s="17" t="s">
        <v>77</v>
      </c>
    </row>
    <row r="34" customFormat="false" ht="15" hidden="false" customHeight="false" outlineLevel="0" collapsed="false">
      <c r="A34" s="16" t="n">
        <v>46275</v>
      </c>
      <c r="B34" s="13" t="s">
        <v>424</v>
      </c>
      <c r="C34" s="13" t="s">
        <v>429</v>
      </c>
      <c r="D34" s="9" t="s">
        <v>430</v>
      </c>
      <c r="E34" s="16" t="n">
        <v>46273</v>
      </c>
      <c r="F34" s="16" t="n">
        <v>46274</v>
      </c>
      <c r="G34" s="13" t="s">
        <v>370</v>
      </c>
      <c r="H34" s="7" t="n">
        <v>395000</v>
      </c>
      <c r="I34" s="7" t="n">
        <v>-59250</v>
      </c>
      <c r="J34" s="7" t="n">
        <v>-7517</v>
      </c>
      <c r="K34" s="7" t="n">
        <v>-9085</v>
      </c>
      <c r="L34" s="7" t="n">
        <v>319148</v>
      </c>
      <c r="M34" s="17" t="s">
        <v>77</v>
      </c>
    </row>
    <row r="35" customFormat="false" ht="15" hidden="false" customHeight="false" outlineLevel="0" collapsed="false">
      <c r="A35" s="16" t="n">
        <v>46275</v>
      </c>
      <c r="B35" s="13" t="s">
        <v>424</v>
      </c>
      <c r="C35" s="13" t="s">
        <v>431</v>
      </c>
      <c r="D35" s="9" t="s">
        <v>432</v>
      </c>
      <c r="E35" s="16" t="n">
        <v>46272</v>
      </c>
      <c r="F35" s="16" t="n">
        <v>46273</v>
      </c>
      <c r="G35" s="13" t="s">
        <v>370</v>
      </c>
      <c r="H35" s="7" t="n">
        <v>595000</v>
      </c>
      <c r="I35" s="7" t="n">
        <v>-89250</v>
      </c>
      <c r="J35" s="7" t="n">
        <v>-11323</v>
      </c>
      <c r="K35" s="7" t="n">
        <v>-13685</v>
      </c>
      <c r="L35" s="7" t="n">
        <v>480742</v>
      </c>
      <c r="M35" s="17" t="s">
        <v>77</v>
      </c>
    </row>
    <row r="36" customFormat="false" ht="15" hidden="false" customHeight="false" outlineLevel="0" collapsed="false">
      <c r="A36" s="16" t="n">
        <v>46275</v>
      </c>
      <c r="B36" s="13" t="s">
        <v>424</v>
      </c>
      <c r="C36" s="13" t="s">
        <v>433</v>
      </c>
      <c r="D36" s="9" t="s">
        <v>434</v>
      </c>
      <c r="E36" s="16" t="n">
        <v>46272</v>
      </c>
      <c r="F36" s="16" t="n">
        <v>46273</v>
      </c>
      <c r="G36" s="13" t="s">
        <v>370</v>
      </c>
      <c r="H36" s="7" t="n">
        <v>595000</v>
      </c>
      <c r="I36" s="7" t="n">
        <v>-89250</v>
      </c>
      <c r="J36" s="7" t="n">
        <v>-11323</v>
      </c>
      <c r="K36" s="7" t="n">
        <v>-13685</v>
      </c>
      <c r="L36" s="7" t="n">
        <v>480742</v>
      </c>
      <c r="M36" s="17" t="s">
        <v>77</v>
      </c>
    </row>
    <row r="37" customFormat="false" ht="15" hidden="false" customHeight="false" outlineLevel="0" collapsed="false">
      <c r="A37" s="16" t="n">
        <v>46275</v>
      </c>
      <c r="B37" s="13" t="s">
        <v>424</v>
      </c>
      <c r="C37" s="13" t="s">
        <v>435</v>
      </c>
      <c r="D37" s="9" t="s">
        <v>436</v>
      </c>
      <c r="E37" s="16" t="n">
        <v>46272</v>
      </c>
      <c r="F37" s="16" t="n">
        <v>46273</v>
      </c>
      <c r="G37" s="13" t="s">
        <v>370</v>
      </c>
      <c r="H37" s="7" t="n">
        <v>495000</v>
      </c>
      <c r="I37" s="7" t="n">
        <v>-74250</v>
      </c>
      <c r="J37" s="7" t="n">
        <v>-9420</v>
      </c>
      <c r="K37" s="7" t="n">
        <v>-11385</v>
      </c>
      <c r="L37" s="7" t="n">
        <v>399945</v>
      </c>
      <c r="M37" s="17" t="s">
        <v>77</v>
      </c>
    </row>
    <row r="38" customFormat="false" ht="15" hidden="false" customHeight="false" outlineLevel="0" collapsed="false">
      <c r="A38" s="16" t="n">
        <v>46275</v>
      </c>
      <c r="B38" s="13" t="s">
        <v>424</v>
      </c>
      <c r="C38" s="13" t="s">
        <v>437</v>
      </c>
      <c r="D38" s="9" t="s">
        <v>114</v>
      </c>
      <c r="E38" s="16" t="n">
        <v>46272</v>
      </c>
      <c r="F38" s="16" t="n">
        <v>46273</v>
      </c>
      <c r="G38" s="13" t="s">
        <v>370</v>
      </c>
      <c r="H38" s="7" t="n">
        <v>495000</v>
      </c>
      <c r="I38" s="7" t="n">
        <v>-74250</v>
      </c>
      <c r="J38" s="7" t="n">
        <v>-9420</v>
      </c>
      <c r="K38" s="7" t="n">
        <v>-11385</v>
      </c>
      <c r="L38" s="7" t="n">
        <v>399945</v>
      </c>
      <c r="M38" s="17" t="s">
        <v>77</v>
      </c>
    </row>
    <row r="39" customFormat="false" ht="15" hidden="false" customHeight="false" outlineLevel="0" collapsed="false">
      <c r="A39" s="16" t="n">
        <v>46275</v>
      </c>
      <c r="B39" s="13" t="s">
        <v>424</v>
      </c>
      <c r="C39" s="13" t="s">
        <v>438</v>
      </c>
      <c r="D39" s="9" t="s">
        <v>439</v>
      </c>
      <c r="E39" s="16" t="n">
        <v>46272</v>
      </c>
      <c r="F39" s="16" t="n">
        <v>46273</v>
      </c>
      <c r="G39" s="13" t="s">
        <v>370</v>
      </c>
      <c r="H39" s="7" t="n">
        <v>495000</v>
      </c>
      <c r="I39" s="7" t="n">
        <v>-74250</v>
      </c>
      <c r="J39" s="7" t="n">
        <v>-9420</v>
      </c>
      <c r="K39" s="7" t="n">
        <v>-11385</v>
      </c>
      <c r="L39" s="7" t="n">
        <v>399945</v>
      </c>
      <c r="M39" s="17" t="s">
        <v>77</v>
      </c>
    </row>
    <row r="40" customFormat="false" ht="15" hidden="false" customHeight="false" outlineLevel="0" collapsed="false">
      <c r="A40" s="16" t="n">
        <v>46275</v>
      </c>
      <c r="B40" s="13" t="s">
        <v>424</v>
      </c>
      <c r="C40" s="13" t="s">
        <v>440</v>
      </c>
      <c r="D40" s="9" t="s">
        <v>441</v>
      </c>
      <c r="E40" s="16" t="n">
        <v>46271</v>
      </c>
      <c r="F40" s="16" t="n">
        <v>46272</v>
      </c>
      <c r="G40" s="13" t="s">
        <v>370</v>
      </c>
      <c r="H40" s="7" t="n">
        <v>495000</v>
      </c>
      <c r="I40" s="7" t="n">
        <v>-74250</v>
      </c>
      <c r="J40" s="7" t="n">
        <v>-9420</v>
      </c>
      <c r="K40" s="7" t="n">
        <v>-11385</v>
      </c>
      <c r="L40" s="7" t="n">
        <v>399945</v>
      </c>
      <c r="M40" s="17" t="s">
        <v>77</v>
      </c>
    </row>
    <row r="41" customFormat="false" ht="15" hidden="false" customHeight="false" outlineLevel="0" collapsed="false">
      <c r="A41" s="16" t="n">
        <v>46275</v>
      </c>
      <c r="B41" s="13" t="s">
        <v>424</v>
      </c>
      <c r="C41" s="13" t="s">
        <v>442</v>
      </c>
      <c r="D41" s="9" t="s">
        <v>443</v>
      </c>
      <c r="E41" s="16" t="n">
        <v>46271</v>
      </c>
      <c r="F41" s="16" t="n">
        <v>46272</v>
      </c>
      <c r="G41" s="13" t="s">
        <v>370</v>
      </c>
      <c r="H41" s="7" t="n">
        <v>595000</v>
      </c>
      <c r="I41" s="7" t="n">
        <v>-89250</v>
      </c>
      <c r="J41" s="7" t="n">
        <v>-11323</v>
      </c>
      <c r="K41" s="7" t="n">
        <v>-13685</v>
      </c>
      <c r="L41" s="7" t="n">
        <v>480742</v>
      </c>
      <c r="M41" s="17" t="s">
        <v>77</v>
      </c>
    </row>
    <row r="42" customFormat="false" ht="15" hidden="false" customHeight="false" outlineLevel="0" collapsed="false">
      <c r="A42" s="16" t="n">
        <v>46275</v>
      </c>
      <c r="B42" s="13" t="s">
        <v>424</v>
      </c>
      <c r="C42" s="13" t="s">
        <v>444</v>
      </c>
      <c r="D42" s="9" t="s">
        <v>445</v>
      </c>
      <c r="E42" s="16" t="n">
        <v>46271</v>
      </c>
      <c r="F42" s="16" t="n">
        <v>46272</v>
      </c>
      <c r="G42" s="13" t="s">
        <v>370</v>
      </c>
      <c r="H42" s="7" t="n">
        <v>495000</v>
      </c>
      <c r="I42" s="7" t="n">
        <v>-74250</v>
      </c>
      <c r="J42" s="7" t="n">
        <v>-9420</v>
      </c>
      <c r="K42" s="7" t="n">
        <v>-11385</v>
      </c>
      <c r="L42" s="7" t="n">
        <v>399945</v>
      </c>
      <c r="M42" s="17" t="s">
        <v>77</v>
      </c>
    </row>
    <row r="43" customFormat="false" ht="15" hidden="false" customHeight="false" outlineLevel="0" collapsed="false">
      <c r="A43" s="16" t="n">
        <v>46275</v>
      </c>
      <c r="B43" s="13" t="s">
        <v>424</v>
      </c>
      <c r="C43" s="13" t="s">
        <v>446</v>
      </c>
      <c r="D43" s="9" t="s">
        <v>447</v>
      </c>
      <c r="E43" s="16" t="n">
        <v>46270</v>
      </c>
      <c r="F43" s="16" t="n">
        <v>46271</v>
      </c>
      <c r="G43" s="13" t="s">
        <v>370</v>
      </c>
      <c r="H43" s="7" t="n">
        <v>545000</v>
      </c>
      <c r="I43" s="7" t="n">
        <v>-81750</v>
      </c>
      <c r="J43" s="7" t="n">
        <v>-10372</v>
      </c>
      <c r="K43" s="7" t="n">
        <v>-12535</v>
      </c>
      <c r="L43" s="7" t="n">
        <v>440343</v>
      </c>
      <c r="M43" s="17" t="s">
        <v>77</v>
      </c>
    </row>
    <row r="44" customFormat="false" ht="15" hidden="false" customHeight="false" outlineLevel="0" collapsed="false">
      <c r="A44" s="16" t="n">
        <v>46275</v>
      </c>
      <c r="B44" s="13" t="s">
        <v>424</v>
      </c>
      <c r="C44" s="13" t="s">
        <v>448</v>
      </c>
      <c r="D44" s="9" t="s">
        <v>449</v>
      </c>
      <c r="E44" s="16" t="n">
        <v>46270</v>
      </c>
      <c r="F44" s="16" t="n">
        <v>46271</v>
      </c>
      <c r="G44" s="13" t="s">
        <v>370</v>
      </c>
      <c r="H44" s="7" t="n">
        <v>645000</v>
      </c>
      <c r="I44" s="7" t="n">
        <v>-96750</v>
      </c>
      <c r="J44" s="7" t="n">
        <v>-12275</v>
      </c>
      <c r="K44" s="7" t="n">
        <v>-14835</v>
      </c>
      <c r="L44" s="7" t="n">
        <v>521140</v>
      </c>
      <c r="M44" s="17" t="s">
        <v>77</v>
      </c>
    </row>
    <row r="45" customFormat="false" ht="15" hidden="false" customHeight="false" outlineLevel="0" collapsed="false">
      <c r="A45" s="16" t="n">
        <v>46275</v>
      </c>
      <c r="B45" s="13" t="s">
        <v>424</v>
      </c>
      <c r="C45" s="13" t="s">
        <v>450</v>
      </c>
      <c r="D45" s="9" t="s">
        <v>451</v>
      </c>
      <c r="E45" s="16" t="n">
        <v>46270</v>
      </c>
      <c r="F45" s="16" t="n">
        <v>46271</v>
      </c>
      <c r="G45" s="13" t="s">
        <v>370</v>
      </c>
      <c r="H45" s="7" t="n">
        <v>445000</v>
      </c>
      <c r="I45" s="7" t="n">
        <v>-66750</v>
      </c>
      <c r="J45" s="7" t="n">
        <v>-8469</v>
      </c>
      <c r="K45" s="7" t="n">
        <v>-10235</v>
      </c>
      <c r="L45" s="7" t="n">
        <v>359546</v>
      </c>
      <c r="M45" s="17" t="s">
        <v>77</v>
      </c>
    </row>
    <row r="46" customFormat="false" ht="15" hidden="false" customHeight="false" outlineLevel="0" collapsed="false">
      <c r="A46" s="16" t="n">
        <v>46275</v>
      </c>
      <c r="B46" s="13" t="s">
        <v>424</v>
      </c>
      <c r="C46" s="13" t="s">
        <v>452</v>
      </c>
      <c r="D46" s="9" t="s">
        <v>453</v>
      </c>
      <c r="E46" s="16" t="n">
        <v>46270</v>
      </c>
      <c r="F46" s="16" t="n">
        <v>46271</v>
      </c>
      <c r="G46" s="13" t="s">
        <v>370</v>
      </c>
      <c r="H46" s="7" t="n">
        <v>545000</v>
      </c>
      <c r="I46" s="7" t="n">
        <v>-81750</v>
      </c>
      <c r="J46" s="7" t="n">
        <v>-10372</v>
      </c>
      <c r="K46" s="7" t="n">
        <v>-12535</v>
      </c>
      <c r="L46" s="7" t="n">
        <v>440343</v>
      </c>
      <c r="M46" s="17" t="s">
        <v>77</v>
      </c>
    </row>
    <row r="47" customFormat="false" ht="15" hidden="false" customHeight="false" outlineLevel="0" collapsed="false">
      <c r="A47" s="16" t="n">
        <v>46275</v>
      </c>
      <c r="B47" s="13" t="s">
        <v>424</v>
      </c>
      <c r="C47" s="13" t="s">
        <v>454</v>
      </c>
      <c r="D47" s="9" t="s">
        <v>455</v>
      </c>
      <c r="E47" s="16" t="n">
        <v>46270</v>
      </c>
      <c r="F47" s="16" t="n">
        <v>46271</v>
      </c>
      <c r="G47" s="13" t="s">
        <v>370</v>
      </c>
      <c r="H47" s="7" t="n">
        <v>545000</v>
      </c>
      <c r="I47" s="7" t="n">
        <v>-81750</v>
      </c>
      <c r="J47" s="7" t="n">
        <v>-10372</v>
      </c>
      <c r="K47" s="7" t="n">
        <v>-12535</v>
      </c>
      <c r="L47" s="7" t="n">
        <v>440343</v>
      </c>
      <c r="M47" s="17" t="s">
        <v>77</v>
      </c>
    </row>
    <row r="48" customFormat="false" ht="15" hidden="false" customHeight="false" outlineLevel="0" collapsed="false">
      <c r="A48" s="16" t="n">
        <v>46275</v>
      </c>
      <c r="B48" s="13" t="s">
        <v>424</v>
      </c>
      <c r="C48" s="13" t="s">
        <v>456</v>
      </c>
      <c r="D48" s="9" t="s">
        <v>457</v>
      </c>
      <c r="E48" s="16" t="n">
        <v>46270</v>
      </c>
      <c r="F48" s="16" t="n">
        <v>46271</v>
      </c>
      <c r="G48" s="13" t="s">
        <v>370</v>
      </c>
      <c r="H48" s="7" t="n">
        <v>645000</v>
      </c>
      <c r="I48" s="7" t="n">
        <v>-96750</v>
      </c>
      <c r="J48" s="7" t="n">
        <v>-12275</v>
      </c>
      <c r="K48" s="7" t="n">
        <v>-14835</v>
      </c>
      <c r="L48" s="7" t="n">
        <v>521140</v>
      </c>
      <c r="M48" s="17" t="s">
        <v>77</v>
      </c>
    </row>
    <row r="49" customFormat="false" ht="15" hidden="false" customHeight="false" outlineLevel="0" collapsed="false">
      <c r="A49" s="16" t="n">
        <v>46275</v>
      </c>
      <c r="B49" s="13" t="s">
        <v>424</v>
      </c>
      <c r="C49" s="13" t="s">
        <v>458</v>
      </c>
      <c r="D49" s="9" t="s">
        <v>459</v>
      </c>
      <c r="E49" s="16" t="n">
        <v>46269</v>
      </c>
      <c r="F49" s="16" t="n">
        <v>46270</v>
      </c>
      <c r="G49" s="13" t="s">
        <v>370</v>
      </c>
      <c r="H49" s="7" t="n">
        <v>445000</v>
      </c>
      <c r="I49" s="7" t="n">
        <v>-66750</v>
      </c>
      <c r="J49" s="7" t="n">
        <v>-8469</v>
      </c>
      <c r="K49" s="7" t="n">
        <v>-10235</v>
      </c>
      <c r="L49" s="7" t="n">
        <v>359546</v>
      </c>
      <c r="M49" s="17" t="s">
        <v>77</v>
      </c>
    </row>
    <row r="50" customFormat="false" ht="15" hidden="false" customHeight="false" outlineLevel="0" collapsed="false">
      <c r="A50" s="16" t="n">
        <v>46275</v>
      </c>
      <c r="B50" s="13" t="s">
        <v>424</v>
      </c>
      <c r="C50" s="13" t="s">
        <v>460</v>
      </c>
      <c r="D50" s="9" t="s">
        <v>461</v>
      </c>
      <c r="E50" s="16" t="n">
        <v>46268</v>
      </c>
      <c r="F50" s="16" t="n">
        <v>46269</v>
      </c>
      <c r="G50" s="13" t="s">
        <v>370</v>
      </c>
      <c r="H50" s="7" t="n">
        <v>495000</v>
      </c>
      <c r="I50" s="7" t="n">
        <v>-74250</v>
      </c>
      <c r="J50" s="7" t="n">
        <v>-9420</v>
      </c>
      <c r="K50" s="7" t="n">
        <v>-11385</v>
      </c>
      <c r="L50" s="7" t="n">
        <v>399945</v>
      </c>
      <c r="M50" s="17" t="s">
        <v>77</v>
      </c>
    </row>
    <row r="51" customFormat="false" ht="15" hidden="false" customHeight="false" outlineLevel="0" collapsed="false">
      <c r="A51" s="16" t="n">
        <v>46275</v>
      </c>
      <c r="B51" s="13" t="s">
        <v>424</v>
      </c>
      <c r="C51" s="13" t="s">
        <v>462</v>
      </c>
      <c r="D51" s="9" t="s">
        <v>463</v>
      </c>
      <c r="E51" s="16" t="n">
        <v>46268</v>
      </c>
      <c r="F51" s="16" t="n">
        <v>46269</v>
      </c>
      <c r="G51" s="13" t="s">
        <v>370</v>
      </c>
      <c r="H51" s="7" t="n">
        <v>495000</v>
      </c>
      <c r="I51" s="7" t="n">
        <v>-74250</v>
      </c>
      <c r="J51" s="7" t="n">
        <v>-9420</v>
      </c>
      <c r="K51" s="7" t="n">
        <v>-11385</v>
      </c>
      <c r="L51" s="7" t="n">
        <v>399945</v>
      </c>
      <c r="M51" s="17" t="s">
        <v>77</v>
      </c>
    </row>
    <row r="52" customFormat="false" ht="15" hidden="false" customHeight="false" outlineLevel="0" collapsed="false">
      <c r="A52" s="16" t="n">
        <v>46275</v>
      </c>
      <c r="B52" s="13" t="s">
        <v>424</v>
      </c>
      <c r="C52" s="13" t="s">
        <v>464</v>
      </c>
      <c r="D52" s="9" t="s">
        <v>465</v>
      </c>
      <c r="E52" s="16" t="n">
        <v>46267</v>
      </c>
      <c r="F52" s="16" t="n">
        <v>46268</v>
      </c>
      <c r="G52" s="13" t="s">
        <v>370</v>
      </c>
      <c r="H52" s="7" t="n">
        <v>595000</v>
      </c>
      <c r="I52" s="7" t="n">
        <v>-89250</v>
      </c>
      <c r="J52" s="7" t="n">
        <v>-11323</v>
      </c>
      <c r="K52" s="7" t="n">
        <v>-13685</v>
      </c>
      <c r="L52" s="7" t="n">
        <v>480742</v>
      </c>
      <c r="M52" s="17" t="s">
        <v>77</v>
      </c>
    </row>
    <row r="53" customFormat="false" ht="15" hidden="false" customHeight="false" outlineLevel="0" collapsed="false">
      <c r="A53" s="16" t="n">
        <v>46282</v>
      </c>
      <c r="B53" s="13" t="s">
        <v>466</v>
      </c>
      <c r="C53" s="13" t="s">
        <v>467</v>
      </c>
      <c r="D53" s="9" t="s">
        <v>468</v>
      </c>
      <c r="E53" s="16" t="n">
        <v>46280</v>
      </c>
      <c r="F53" s="16" t="n">
        <v>46281</v>
      </c>
      <c r="G53" s="13" t="s">
        <v>370</v>
      </c>
      <c r="H53" s="7" t="n">
        <v>495000</v>
      </c>
      <c r="I53" s="7" t="n">
        <v>-74250</v>
      </c>
      <c r="J53" s="7" t="n">
        <v>-9420</v>
      </c>
      <c r="K53" s="7" t="n">
        <v>-11385</v>
      </c>
      <c r="L53" s="7" t="n">
        <v>399945</v>
      </c>
      <c r="M53" s="17" t="s">
        <v>77</v>
      </c>
    </row>
    <row r="54" customFormat="false" ht="15" hidden="false" customHeight="false" outlineLevel="0" collapsed="false">
      <c r="A54" s="16" t="n">
        <v>46282</v>
      </c>
      <c r="B54" s="13" t="s">
        <v>466</v>
      </c>
      <c r="C54" s="13" t="s">
        <v>469</v>
      </c>
      <c r="D54" s="9" t="s">
        <v>470</v>
      </c>
      <c r="E54" s="16" t="n">
        <v>46280</v>
      </c>
      <c r="F54" s="16" t="n">
        <v>46281</v>
      </c>
      <c r="G54" s="13" t="s">
        <v>370</v>
      </c>
      <c r="H54" s="7" t="n">
        <v>495000</v>
      </c>
      <c r="I54" s="7" t="n">
        <v>-74250</v>
      </c>
      <c r="J54" s="7" t="n">
        <v>-9420</v>
      </c>
      <c r="K54" s="7" t="n">
        <v>-11385</v>
      </c>
      <c r="L54" s="7" t="n">
        <v>399945</v>
      </c>
      <c r="M54" s="17" t="s">
        <v>77</v>
      </c>
    </row>
    <row r="55" customFormat="false" ht="15" hidden="false" customHeight="false" outlineLevel="0" collapsed="false">
      <c r="A55" s="16" t="n">
        <v>46282</v>
      </c>
      <c r="B55" s="13" t="s">
        <v>466</v>
      </c>
      <c r="C55" s="13" t="s">
        <v>471</v>
      </c>
      <c r="D55" s="9" t="s">
        <v>472</v>
      </c>
      <c r="E55" s="16" t="n">
        <v>46279</v>
      </c>
      <c r="F55" s="16" t="n">
        <v>46280</v>
      </c>
      <c r="G55" s="13" t="s">
        <v>370</v>
      </c>
      <c r="H55" s="7" t="n">
        <v>595000</v>
      </c>
      <c r="I55" s="7" t="n">
        <v>-89250</v>
      </c>
      <c r="J55" s="7" t="n">
        <v>-11323</v>
      </c>
      <c r="K55" s="7" t="n">
        <v>-13685</v>
      </c>
      <c r="L55" s="7" t="n">
        <v>480742</v>
      </c>
      <c r="M55" s="17" t="s">
        <v>77</v>
      </c>
    </row>
    <row r="56" customFormat="false" ht="15" hidden="false" customHeight="false" outlineLevel="0" collapsed="false">
      <c r="A56" s="16" t="n">
        <v>46282</v>
      </c>
      <c r="B56" s="13" t="s">
        <v>466</v>
      </c>
      <c r="C56" s="13" t="s">
        <v>473</v>
      </c>
      <c r="D56" s="9" t="s">
        <v>474</v>
      </c>
      <c r="E56" s="16" t="n">
        <v>46279</v>
      </c>
      <c r="F56" s="16" t="n">
        <v>46280</v>
      </c>
      <c r="G56" s="13" t="s">
        <v>370</v>
      </c>
      <c r="H56" s="7" t="n">
        <v>495000</v>
      </c>
      <c r="I56" s="7" t="n">
        <v>-74250</v>
      </c>
      <c r="J56" s="7" t="n">
        <v>-9420</v>
      </c>
      <c r="K56" s="7" t="n">
        <v>-11385</v>
      </c>
      <c r="L56" s="7" t="n">
        <v>399945</v>
      </c>
      <c r="M56" s="17" t="s">
        <v>77</v>
      </c>
    </row>
    <row r="57" customFormat="false" ht="15" hidden="false" customHeight="false" outlineLevel="0" collapsed="false">
      <c r="A57" s="16" t="n">
        <v>46282</v>
      </c>
      <c r="B57" s="13" t="s">
        <v>466</v>
      </c>
      <c r="C57" s="13" t="s">
        <v>475</v>
      </c>
      <c r="D57" s="9" t="s">
        <v>476</v>
      </c>
      <c r="E57" s="16" t="n">
        <v>46278</v>
      </c>
      <c r="F57" s="16" t="n">
        <v>46279</v>
      </c>
      <c r="G57" s="13" t="s">
        <v>370</v>
      </c>
      <c r="H57" s="7" t="n">
        <v>495000</v>
      </c>
      <c r="I57" s="7" t="n">
        <v>-74250</v>
      </c>
      <c r="J57" s="7" t="n">
        <v>-9420</v>
      </c>
      <c r="K57" s="7" t="n">
        <v>-11385</v>
      </c>
      <c r="L57" s="7" t="n">
        <v>399945</v>
      </c>
      <c r="M57" s="17" t="s">
        <v>77</v>
      </c>
    </row>
    <row r="58" customFormat="false" ht="15" hidden="false" customHeight="false" outlineLevel="0" collapsed="false">
      <c r="A58" s="16" t="n">
        <v>46282</v>
      </c>
      <c r="B58" s="13" t="s">
        <v>466</v>
      </c>
      <c r="C58" s="13" t="s">
        <v>477</v>
      </c>
      <c r="D58" s="9" t="s">
        <v>478</v>
      </c>
      <c r="E58" s="16" t="n">
        <v>46278</v>
      </c>
      <c r="F58" s="16" t="n">
        <v>46279</v>
      </c>
      <c r="G58" s="13" t="s">
        <v>370</v>
      </c>
      <c r="H58" s="7" t="n">
        <v>495000</v>
      </c>
      <c r="I58" s="7" t="n">
        <v>-74250</v>
      </c>
      <c r="J58" s="7" t="n">
        <v>-9420</v>
      </c>
      <c r="K58" s="7" t="n">
        <v>-11385</v>
      </c>
      <c r="L58" s="7" t="n">
        <v>399945</v>
      </c>
      <c r="M58" s="17" t="s">
        <v>77</v>
      </c>
    </row>
    <row r="59" customFormat="false" ht="15" hidden="false" customHeight="false" outlineLevel="0" collapsed="false">
      <c r="A59" s="16" t="n">
        <v>46282</v>
      </c>
      <c r="B59" s="13" t="s">
        <v>466</v>
      </c>
      <c r="C59" s="13" t="s">
        <v>479</v>
      </c>
      <c r="D59" s="9" t="s">
        <v>480</v>
      </c>
      <c r="E59" s="16" t="n">
        <v>46278</v>
      </c>
      <c r="F59" s="16" t="n">
        <v>46279</v>
      </c>
      <c r="G59" s="13" t="s">
        <v>370</v>
      </c>
      <c r="H59" s="7" t="n">
        <v>495000</v>
      </c>
      <c r="I59" s="7" t="n">
        <v>-74250</v>
      </c>
      <c r="J59" s="7" t="n">
        <v>-9420</v>
      </c>
      <c r="K59" s="7" t="n">
        <v>-11385</v>
      </c>
      <c r="L59" s="7" t="n">
        <v>399945</v>
      </c>
      <c r="M59" s="17" t="s">
        <v>77</v>
      </c>
    </row>
    <row r="60" customFormat="false" ht="15" hidden="false" customHeight="false" outlineLevel="0" collapsed="false">
      <c r="A60" s="16" t="n">
        <v>46282</v>
      </c>
      <c r="B60" s="13" t="s">
        <v>466</v>
      </c>
      <c r="C60" s="13" t="s">
        <v>481</v>
      </c>
      <c r="D60" s="9" t="s">
        <v>482</v>
      </c>
      <c r="E60" s="16" t="n">
        <v>46278</v>
      </c>
      <c r="F60" s="16" t="n">
        <v>46279</v>
      </c>
      <c r="G60" s="13" t="s">
        <v>370</v>
      </c>
      <c r="H60" s="7" t="n">
        <v>395000</v>
      </c>
      <c r="I60" s="7" t="n">
        <v>-59250</v>
      </c>
      <c r="J60" s="7" t="n">
        <v>-7517</v>
      </c>
      <c r="K60" s="7" t="n">
        <v>-9085</v>
      </c>
      <c r="L60" s="7" t="n">
        <v>319148</v>
      </c>
      <c r="M60" s="17" t="s">
        <v>77</v>
      </c>
    </row>
    <row r="61" customFormat="false" ht="15" hidden="false" customHeight="false" outlineLevel="0" collapsed="false">
      <c r="A61" s="16" t="n">
        <v>46282</v>
      </c>
      <c r="B61" s="13" t="s">
        <v>466</v>
      </c>
      <c r="C61" s="13" t="s">
        <v>483</v>
      </c>
      <c r="D61" s="9" t="s">
        <v>484</v>
      </c>
      <c r="E61" s="16" t="n">
        <v>46277</v>
      </c>
      <c r="F61" s="16" t="n">
        <v>46278</v>
      </c>
      <c r="G61" s="13" t="s">
        <v>370</v>
      </c>
      <c r="H61" s="7" t="n">
        <v>645000</v>
      </c>
      <c r="I61" s="7" t="n">
        <v>-96750</v>
      </c>
      <c r="J61" s="7" t="n">
        <v>-12275</v>
      </c>
      <c r="K61" s="7" t="n">
        <v>-14835</v>
      </c>
      <c r="L61" s="7" t="n">
        <v>521140</v>
      </c>
      <c r="M61" s="17" t="s">
        <v>77</v>
      </c>
    </row>
    <row r="62" customFormat="false" ht="15" hidden="false" customHeight="false" outlineLevel="0" collapsed="false">
      <c r="A62" s="16" t="n">
        <v>46282</v>
      </c>
      <c r="B62" s="13" t="s">
        <v>466</v>
      </c>
      <c r="C62" s="13" t="s">
        <v>485</v>
      </c>
      <c r="D62" s="9" t="s">
        <v>486</v>
      </c>
      <c r="E62" s="16" t="n">
        <v>46277</v>
      </c>
      <c r="F62" s="16" t="n">
        <v>46278</v>
      </c>
      <c r="G62" s="13" t="s">
        <v>370</v>
      </c>
      <c r="H62" s="7" t="n">
        <v>545000</v>
      </c>
      <c r="I62" s="7" t="n">
        <v>-81750</v>
      </c>
      <c r="J62" s="7" t="n">
        <v>-10372</v>
      </c>
      <c r="K62" s="7" t="n">
        <v>-12535</v>
      </c>
      <c r="L62" s="7" t="n">
        <v>440343</v>
      </c>
      <c r="M62" s="17" t="s">
        <v>77</v>
      </c>
    </row>
    <row r="63" customFormat="false" ht="15" hidden="false" customHeight="false" outlineLevel="0" collapsed="false">
      <c r="A63" s="16" t="n">
        <v>46282</v>
      </c>
      <c r="B63" s="13" t="s">
        <v>466</v>
      </c>
      <c r="C63" s="13" t="s">
        <v>487</v>
      </c>
      <c r="D63" s="9" t="s">
        <v>488</v>
      </c>
      <c r="E63" s="16" t="n">
        <v>46277</v>
      </c>
      <c r="F63" s="16" t="n">
        <v>46278</v>
      </c>
      <c r="G63" s="13" t="s">
        <v>370</v>
      </c>
      <c r="H63" s="7" t="n">
        <v>545000</v>
      </c>
      <c r="I63" s="7" t="n">
        <v>-81750</v>
      </c>
      <c r="J63" s="7" t="n">
        <v>-10372</v>
      </c>
      <c r="K63" s="7" t="n">
        <v>-12535</v>
      </c>
      <c r="L63" s="7" t="n">
        <v>440343</v>
      </c>
      <c r="M63" s="17" t="s">
        <v>77</v>
      </c>
    </row>
    <row r="64" customFormat="false" ht="15" hidden="false" customHeight="false" outlineLevel="0" collapsed="false">
      <c r="A64" s="16" t="n">
        <v>46282</v>
      </c>
      <c r="B64" s="13" t="s">
        <v>466</v>
      </c>
      <c r="C64" s="13" t="s">
        <v>489</v>
      </c>
      <c r="D64" s="9" t="s">
        <v>490</v>
      </c>
      <c r="E64" s="16" t="n">
        <v>46277</v>
      </c>
      <c r="F64" s="16" t="n">
        <v>46278</v>
      </c>
      <c r="G64" s="13" t="s">
        <v>370</v>
      </c>
      <c r="H64" s="7" t="n">
        <v>645000</v>
      </c>
      <c r="I64" s="7" t="n">
        <v>-96750</v>
      </c>
      <c r="J64" s="7" t="n">
        <v>-12275</v>
      </c>
      <c r="K64" s="7" t="n">
        <v>-14835</v>
      </c>
      <c r="L64" s="7" t="n">
        <v>521140</v>
      </c>
      <c r="M64" s="17" t="s">
        <v>77</v>
      </c>
    </row>
    <row r="65" customFormat="false" ht="15" hidden="false" customHeight="false" outlineLevel="0" collapsed="false">
      <c r="A65" s="16" t="n">
        <v>46282</v>
      </c>
      <c r="B65" s="13" t="s">
        <v>466</v>
      </c>
      <c r="C65" s="13" t="s">
        <v>491</v>
      </c>
      <c r="D65" s="9" t="s">
        <v>492</v>
      </c>
      <c r="E65" s="16" t="n">
        <v>46277</v>
      </c>
      <c r="F65" s="16" t="n">
        <v>46278</v>
      </c>
      <c r="G65" s="13" t="s">
        <v>370</v>
      </c>
      <c r="H65" s="7" t="n">
        <v>545000</v>
      </c>
      <c r="I65" s="7" t="n">
        <v>-81750</v>
      </c>
      <c r="J65" s="7" t="n">
        <v>-10372</v>
      </c>
      <c r="K65" s="7" t="n">
        <v>-12535</v>
      </c>
      <c r="L65" s="7" t="n">
        <v>440343</v>
      </c>
      <c r="M65" s="17" t="s">
        <v>77</v>
      </c>
    </row>
    <row r="66" customFormat="false" ht="15" hidden="false" customHeight="false" outlineLevel="0" collapsed="false">
      <c r="A66" s="16" t="n">
        <v>46282</v>
      </c>
      <c r="B66" s="13" t="s">
        <v>466</v>
      </c>
      <c r="C66" s="13" t="s">
        <v>493</v>
      </c>
      <c r="D66" s="9" t="s">
        <v>494</v>
      </c>
      <c r="E66" s="16" t="n">
        <v>46277</v>
      </c>
      <c r="F66" s="16" t="n">
        <v>46278</v>
      </c>
      <c r="G66" s="13" t="s">
        <v>370</v>
      </c>
      <c r="H66" s="7" t="n">
        <v>445000</v>
      </c>
      <c r="I66" s="7" t="n">
        <v>-66750</v>
      </c>
      <c r="J66" s="7" t="n">
        <v>-8469</v>
      </c>
      <c r="K66" s="7" t="n">
        <v>-10235</v>
      </c>
      <c r="L66" s="7" t="n">
        <v>359546</v>
      </c>
      <c r="M66" s="17" t="s">
        <v>77</v>
      </c>
    </row>
    <row r="67" customFormat="false" ht="15" hidden="false" customHeight="false" outlineLevel="0" collapsed="false">
      <c r="A67" s="16" t="n">
        <v>46282</v>
      </c>
      <c r="B67" s="13" t="s">
        <v>466</v>
      </c>
      <c r="C67" s="13" t="s">
        <v>495</v>
      </c>
      <c r="D67" s="9" t="s">
        <v>496</v>
      </c>
      <c r="E67" s="16" t="n">
        <v>46276</v>
      </c>
      <c r="F67" s="16" t="n">
        <v>46277</v>
      </c>
      <c r="G67" s="13" t="s">
        <v>370</v>
      </c>
      <c r="H67" s="7" t="n">
        <v>445000</v>
      </c>
      <c r="I67" s="7" t="n">
        <v>-66750</v>
      </c>
      <c r="J67" s="7" t="n">
        <v>-8469</v>
      </c>
      <c r="K67" s="7" t="n">
        <v>-10235</v>
      </c>
      <c r="L67" s="7" t="n">
        <v>359546</v>
      </c>
      <c r="M67" s="17" t="s">
        <v>77</v>
      </c>
    </row>
    <row r="68" customFormat="false" ht="15" hidden="false" customHeight="false" outlineLevel="0" collapsed="false">
      <c r="A68" s="16" t="n">
        <v>46282</v>
      </c>
      <c r="B68" s="13" t="s">
        <v>466</v>
      </c>
      <c r="C68" s="13" t="s">
        <v>497</v>
      </c>
      <c r="D68" s="9" t="s">
        <v>498</v>
      </c>
      <c r="E68" s="16" t="n">
        <v>46276</v>
      </c>
      <c r="F68" s="16" t="n">
        <v>46277</v>
      </c>
      <c r="G68" s="13" t="s">
        <v>370</v>
      </c>
      <c r="H68" s="7" t="n">
        <v>545000</v>
      </c>
      <c r="I68" s="7" t="n">
        <v>-81750</v>
      </c>
      <c r="J68" s="7" t="n">
        <v>-10372</v>
      </c>
      <c r="K68" s="7" t="n">
        <v>-12535</v>
      </c>
      <c r="L68" s="7" t="n">
        <v>440343</v>
      </c>
      <c r="M68" s="17" t="s">
        <v>77</v>
      </c>
    </row>
    <row r="69" customFormat="false" ht="15" hidden="false" customHeight="false" outlineLevel="0" collapsed="false">
      <c r="A69" s="16" t="n">
        <v>46282</v>
      </c>
      <c r="B69" s="13" t="s">
        <v>466</v>
      </c>
      <c r="C69" s="13" t="s">
        <v>499</v>
      </c>
      <c r="D69" s="9" t="s">
        <v>500</v>
      </c>
      <c r="E69" s="16" t="n">
        <v>46276</v>
      </c>
      <c r="F69" s="16" t="n">
        <v>46277</v>
      </c>
      <c r="G69" s="13" t="s">
        <v>370</v>
      </c>
      <c r="H69" s="7" t="n">
        <v>545000</v>
      </c>
      <c r="I69" s="7" t="n">
        <v>-81750</v>
      </c>
      <c r="J69" s="7" t="n">
        <v>-10372</v>
      </c>
      <c r="K69" s="7" t="n">
        <v>-12535</v>
      </c>
      <c r="L69" s="7" t="n">
        <v>440343</v>
      </c>
      <c r="M69" s="17" t="s">
        <v>77</v>
      </c>
    </row>
    <row r="70" customFormat="false" ht="15" hidden="false" customHeight="false" outlineLevel="0" collapsed="false">
      <c r="A70" s="16" t="n">
        <v>46282</v>
      </c>
      <c r="B70" s="13" t="s">
        <v>466</v>
      </c>
      <c r="C70" s="13" t="s">
        <v>501</v>
      </c>
      <c r="D70" s="9" t="s">
        <v>502</v>
      </c>
      <c r="E70" s="16" t="n">
        <v>46276</v>
      </c>
      <c r="F70" s="16" t="n">
        <v>46277</v>
      </c>
      <c r="G70" s="13" t="s">
        <v>370</v>
      </c>
      <c r="H70" s="7" t="n">
        <v>645000</v>
      </c>
      <c r="I70" s="7" t="n">
        <v>-96750</v>
      </c>
      <c r="J70" s="7" t="n">
        <v>-12275</v>
      </c>
      <c r="K70" s="7" t="n">
        <v>-14835</v>
      </c>
      <c r="L70" s="7" t="n">
        <v>521140</v>
      </c>
      <c r="M70" s="17" t="s">
        <v>77</v>
      </c>
    </row>
    <row r="71" customFormat="false" ht="15" hidden="false" customHeight="false" outlineLevel="0" collapsed="false">
      <c r="A71" s="16" t="n">
        <v>46282</v>
      </c>
      <c r="B71" s="13" t="s">
        <v>466</v>
      </c>
      <c r="C71" s="13" t="s">
        <v>503</v>
      </c>
      <c r="D71" s="9" t="s">
        <v>504</v>
      </c>
      <c r="E71" s="16" t="n">
        <v>46276</v>
      </c>
      <c r="F71" s="16" t="n">
        <v>46277</v>
      </c>
      <c r="G71" s="13" t="s">
        <v>370</v>
      </c>
      <c r="H71" s="7" t="n">
        <v>545000</v>
      </c>
      <c r="I71" s="7" t="n">
        <v>-81750</v>
      </c>
      <c r="J71" s="7" t="n">
        <v>-10372</v>
      </c>
      <c r="K71" s="7" t="n">
        <v>-12535</v>
      </c>
      <c r="L71" s="7" t="n">
        <v>440343</v>
      </c>
      <c r="M71" s="17" t="s">
        <v>77</v>
      </c>
    </row>
    <row r="72" customFormat="false" ht="15" hidden="false" customHeight="false" outlineLevel="0" collapsed="false">
      <c r="A72" s="16" t="n">
        <v>46282</v>
      </c>
      <c r="B72" s="13" t="s">
        <v>466</v>
      </c>
      <c r="C72" s="13" t="s">
        <v>505</v>
      </c>
      <c r="D72" s="9" t="s">
        <v>506</v>
      </c>
      <c r="E72" s="16" t="n">
        <v>46275</v>
      </c>
      <c r="F72" s="16" t="n">
        <v>46276</v>
      </c>
      <c r="G72" s="13" t="s">
        <v>370</v>
      </c>
      <c r="H72" s="7" t="n">
        <v>395000</v>
      </c>
      <c r="I72" s="7" t="n">
        <v>-59250</v>
      </c>
      <c r="J72" s="7" t="n">
        <v>-7517</v>
      </c>
      <c r="K72" s="7" t="n">
        <v>-9085</v>
      </c>
      <c r="L72" s="7" t="n">
        <v>319148</v>
      </c>
      <c r="M72" s="17" t="s">
        <v>77</v>
      </c>
    </row>
    <row r="73" customFormat="false" ht="15" hidden="false" customHeight="false" outlineLevel="0" collapsed="false">
      <c r="A73" s="16" t="n">
        <v>46282</v>
      </c>
      <c r="B73" s="13" t="s">
        <v>466</v>
      </c>
      <c r="C73" s="13" t="s">
        <v>507</v>
      </c>
      <c r="D73" s="9" t="s">
        <v>508</v>
      </c>
      <c r="E73" s="16" t="n">
        <v>46274</v>
      </c>
      <c r="F73" s="16" t="n">
        <v>46275</v>
      </c>
      <c r="G73" s="13" t="s">
        <v>370</v>
      </c>
      <c r="H73" s="7" t="n">
        <v>495000</v>
      </c>
      <c r="I73" s="7" t="n">
        <v>-74250</v>
      </c>
      <c r="J73" s="7" t="n">
        <v>-9420</v>
      </c>
      <c r="K73" s="7" t="n">
        <v>-11385</v>
      </c>
      <c r="L73" s="7" t="n">
        <v>399945</v>
      </c>
      <c r="M73" s="17" t="s">
        <v>77</v>
      </c>
    </row>
    <row r="74" customFormat="false" ht="15" hidden="false" customHeight="false" outlineLevel="0" collapsed="false">
      <c r="A74" s="16" t="n">
        <v>46282</v>
      </c>
      <c r="B74" s="13" t="s">
        <v>466</v>
      </c>
      <c r="C74" s="13" t="s">
        <v>509</v>
      </c>
      <c r="D74" s="9" t="s">
        <v>510</v>
      </c>
      <c r="E74" s="16" t="n">
        <v>46274</v>
      </c>
      <c r="F74" s="16" t="n">
        <v>46275</v>
      </c>
      <c r="G74" s="13" t="s">
        <v>370</v>
      </c>
      <c r="H74" s="7" t="n">
        <v>395000</v>
      </c>
      <c r="I74" s="7" t="n">
        <v>-59250</v>
      </c>
      <c r="J74" s="7" t="n">
        <v>-7517</v>
      </c>
      <c r="K74" s="7" t="n">
        <v>-9085</v>
      </c>
      <c r="L74" s="7" t="n">
        <v>319148</v>
      </c>
      <c r="M74" s="17" t="s">
        <v>77</v>
      </c>
    </row>
    <row r="75" customFormat="false" ht="15" hidden="false" customHeight="false" outlineLevel="0" collapsed="false">
      <c r="A75" s="16" t="n">
        <v>46282</v>
      </c>
      <c r="B75" s="13" t="s">
        <v>466</v>
      </c>
      <c r="C75" s="13" t="s">
        <v>511</v>
      </c>
      <c r="D75" s="9" t="s">
        <v>512</v>
      </c>
      <c r="E75" s="16" t="n">
        <v>46274</v>
      </c>
      <c r="F75" s="16" t="n">
        <v>46275</v>
      </c>
      <c r="G75" s="13" t="s">
        <v>370</v>
      </c>
      <c r="H75" s="7" t="n">
        <v>495000</v>
      </c>
      <c r="I75" s="7" t="n">
        <v>-74250</v>
      </c>
      <c r="J75" s="7" t="n">
        <v>-9420</v>
      </c>
      <c r="K75" s="7" t="n">
        <v>-11385</v>
      </c>
      <c r="L75" s="7" t="n">
        <v>399945</v>
      </c>
      <c r="M75" s="17" t="s">
        <v>77</v>
      </c>
    </row>
    <row r="76" customFormat="false" ht="15" hidden="false" customHeight="false" outlineLevel="0" collapsed="false">
      <c r="A76" s="16" t="n">
        <v>46289</v>
      </c>
      <c r="B76" s="13" t="s">
        <v>513</v>
      </c>
      <c r="C76" s="13" t="s">
        <v>514</v>
      </c>
      <c r="D76" s="9" t="s">
        <v>515</v>
      </c>
      <c r="E76" s="16" t="n">
        <v>46287</v>
      </c>
      <c r="F76" s="16" t="n">
        <v>46288</v>
      </c>
      <c r="G76" s="13" t="s">
        <v>370</v>
      </c>
      <c r="H76" s="7" t="n">
        <v>395000</v>
      </c>
      <c r="I76" s="7" t="n">
        <v>-59250</v>
      </c>
      <c r="J76" s="7" t="n">
        <v>-7517</v>
      </c>
      <c r="K76" s="7" t="n">
        <v>-9085</v>
      </c>
      <c r="L76" s="7" t="n">
        <v>319148</v>
      </c>
      <c r="M76" s="17" t="s">
        <v>77</v>
      </c>
    </row>
    <row r="77" customFormat="false" ht="15" hidden="false" customHeight="false" outlineLevel="0" collapsed="false">
      <c r="A77" s="16" t="n">
        <v>46289</v>
      </c>
      <c r="B77" s="13" t="s">
        <v>513</v>
      </c>
      <c r="C77" s="13" t="s">
        <v>516</v>
      </c>
      <c r="D77" s="9" t="s">
        <v>517</v>
      </c>
      <c r="E77" s="16" t="n">
        <v>46287</v>
      </c>
      <c r="F77" s="16" t="n">
        <v>46288</v>
      </c>
      <c r="G77" s="13" t="s">
        <v>370</v>
      </c>
      <c r="H77" s="7" t="n">
        <v>495000</v>
      </c>
      <c r="I77" s="7" t="n">
        <v>-74250</v>
      </c>
      <c r="J77" s="7" t="n">
        <v>-9420</v>
      </c>
      <c r="K77" s="7" t="n">
        <v>-11385</v>
      </c>
      <c r="L77" s="7" t="n">
        <v>399945</v>
      </c>
      <c r="M77" s="17" t="s">
        <v>77</v>
      </c>
    </row>
    <row r="78" customFormat="false" ht="15" hidden="false" customHeight="false" outlineLevel="0" collapsed="false">
      <c r="A78" s="16" t="n">
        <v>46289</v>
      </c>
      <c r="B78" s="13" t="s">
        <v>513</v>
      </c>
      <c r="C78" s="13" t="s">
        <v>518</v>
      </c>
      <c r="D78" s="9" t="s">
        <v>519</v>
      </c>
      <c r="E78" s="16" t="n">
        <v>46286</v>
      </c>
      <c r="F78" s="16" t="n">
        <v>46287</v>
      </c>
      <c r="G78" s="13" t="s">
        <v>370</v>
      </c>
      <c r="H78" s="7" t="n">
        <v>495000</v>
      </c>
      <c r="I78" s="7" t="n">
        <v>-74250</v>
      </c>
      <c r="J78" s="7" t="n">
        <v>-9420</v>
      </c>
      <c r="K78" s="7" t="n">
        <v>-11385</v>
      </c>
      <c r="L78" s="7" t="n">
        <v>399945</v>
      </c>
      <c r="M78" s="17" t="s">
        <v>77</v>
      </c>
    </row>
    <row r="79" customFormat="false" ht="15" hidden="false" customHeight="false" outlineLevel="0" collapsed="false">
      <c r="A79" s="16" t="n">
        <v>46289</v>
      </c>
      <c r="B79" s="13" t="s">
        <v>513</v>
      </c>
      <c r="C79" s="13" t="s">
        <v>520</v>
      </c>
      <c r="D79" s="9" t="s">
        <v>521</v>
      </c>
      <c r="E79" s="16" t="n">
        <v>46285</v>
      </c>
      <c r="F79" s="16" t="n">
        <v>46286</v>
      </c>
      <c r="G79" s="13" t="s">
        <v>370</v>
      </c>
      <c r="H79" s="7" t="n">
        <v>495000</v>
      </c>
      <c r="I79" s="7" t="n">
        <v>-74250</v>
      </c>
      <c r="J79" s="7" t="n">
        <v>-9420</v>
      </c>
      <c r="K79" s="7" t="n">
        <v>-11385</v>
      </c>
      <c r="L79" s="7" t="n">
        <v>399945</v>
      </c>
      <c r="M79" s="17" t="s">
        <v>77</v>
      </c>
    </row>
    <row r="80" customFormat="false" ht="15" hidden="false" customHeight="false" outlineLevel="0" collapsed="false">
      <c r="A80" s="16" t="n">
        <v>46289</v>
      </c>
      <c r="B80" s="13" t="s">
        <v>513</v>
      </c>
      <c r="C80" s="13" t="s">
        <v>522</v>
      </c>
      <c r="D80" s="9" t="s">
        <v>521</v>
      </c>
      <c r="E80" s="16" t="n">
        <v>46285</v>
      </c>
      <c r="F80" s="16" t="n">
        <v>46286</v>
      </c>
      <c r="G80" s="13" t="s">
        <v>370</v>
      </c>
      <c r="H80" s="7" t="n">
        <v>495000</v>
      </c>
      <c r="I80" s="7" t="n">
        <v>-74250</v>
      </c>
      <c r="J80" s="7" t="n">
        <v>-9420</v>
      </c>
      <c r="K80" s="7" t="n">
        <v>-11385</v>
      </c>
      <c r="L80" s="7" t="n">
        <v>399945</v>
      </c>
      <c r="M80" s="17" t="s">
        <v>77</v>
      </c>
    </row>
    <row r="81" customFormat="false" ht="15" hidden="false" customHeight="false" outlineLevel="0" collapsed="false">
      <c r="A81" s="16" t="n">
        <v>46289</v>
      </c>
      <c r="B81" s="13" t="s">
        <v>513</v>
      </c>
      <c r="C81" s="13" t="s">
        <v>523</v>
      </c>
      <c r="D81" s="9" t="s">
        <v>524</v>
      </c>
      <c r="E81" s="16" t="n">
        <v>46284</v>
      </c>
      <c r="F81" s="16" t="n">
        <v>46285</v>
      </c>
      <c r="G81" s="13" t="s">
        <v>370</v>
      </c>
      <c r="H81" s="7" t="n">
        <v>645000</v>
      </c>
      <c r="I81" s="7" t="n">
        <v>-96750</v>
      </c>
      <c r="J81" s="7" t="n">
        <v>-12275</v>
      </c>
      <c r="K81" s="7" t="n">
        <v>-14835</v>
      </c>
      <c r="L81" s="7" t="n">
        <v>521140</v>
      </c>
      <c r="M81" s="17" t="s">
        <v>77</v>
      </c>
    </row>
    <row r="82" customFormat="false" ht="15" hidden="false" customHeight="false" outlineLevel="0" collapsed="false">
      <c r="A82" s="16" t="n">
        <v>46289</v>
      </c>
      <c r="B82" s="13" t="s">
        <v>513</v>
      </c>
      <c r="C82" s="13" t="s">
        <v>525</v>
      </c>
      <c r="D82" s="9" t="s">
        <v>526</v>
      </c>
      <c r="E82" s="16" t="n">
        <v>46284</v>
      </c>
      <c r="F82" s="16" t="n">
        <v>46285</v>
      </c>
      <c r="G82" s="13" t="s">
        <v>370</v>
      </c>
      <c r="H82" s="7" t="n">
        <v>545000</v>
      </c>
      <c r="I82" s="7" t="n">
        <v>-81750</v>
      </c>
      <c r="J82" s="7" t="n">
        <v>-10372</v>
      </c>
      <c r="K82" s="7" t="n">
        <v>-12535</v>
      </c>
      <c r="L82" s="7" t="n">
        <v>440343</v>
      </c>
      <c r="M82" s="17" t="s">
        <v>77</v>
      </c>
    </row>
    <row r="83" customFormat="false" ht="15" hidden="false" customHeight="false" outlineLevel="0" collapsed="false">
      <c r="A83" s="16" t="n">
        <v>46289</v>
      </c>
      <c r="B83" s="13" t="s">
        <v>513</v>
      </c>
      <c r="C83" s="13" t="s">
        <v>527</v>
      </c>
      <c r="D83" s="9" t="s">
        <v>528</v>
      </c>
      <c r="E83" s="16" t="n">
        <v>46284</v>
      </c>
      <c r="F83" s="16" t="n">
        <v>46285</v>
      </c>
      <c r="G83" s="13" t="s">
        <v>370</v>
      </c>
      <c r="H83" s="7" t="n">
        <v>645000</v>
      </c>
      <c r="I83" s="7" t="n">
        <v>-96750</v>
      </c>
      <c r="J83" s="7" t="n">
        <v>-12275</v>
      </c>
      <c r="K83" s="7" t="n">
        <v>-14835</v>
      </c>
      <c r="L83" s="7" t="n">
        <v>521140</v>
      </c>
      <c r="M83" s="17" t="s">
        <v>77</v>
      </c>
    </row>
    <row r="84" customFormat="false" ht="15" hidden="false" customHeight="false" outlineLevel="0" collapsed="false">
      <c r="A84" s="16" t="n">
        <v>46289</v>
      </c>
      <c r="B84" s="13" t="s">
        <v>513</v>
      </c>
      <c r="C84" s="13" t="s">
        <v>529</v>
      </c>
      <c r="D84" s="9" t="s">
        <v>530</v>
      </c>
      <c r="E84" s="16" t="n">
        <v>46284</v>
      </c>
      <c r="F84" s="16" t="n">
        <v>46285</v>
      </c>
      <c r="G84" s="13" t="s">
        <v>370</v>
      </c>
      <c r="H84" s="7" t="n">
        <v>545000</v>
      </c>
      <c r="I84" s="7" t="n">
        <v>-81750</v>
      </c>
      <c r="J84" s="7" t="n">
        <v>-10372</v>
      </c>
      <c r="K84" s="7" t="n">
        <v>-12535</v>
      </c>
      <c r="L84" s="7" t="n">
        <v>440343</v>
      </c>
      <c r="M84" s="17" t="s">
        <v>77</v>
      </c>
    </row>
    <row r="85" customFormat="false" ht="15" hidden="false" customHeight="false" outlineLevel="0" collapsed="false">
      <c r="A85" s="16" t="n">
        <v>46289</v>
      </c>
      <c r="B85" s="13" t="s">
        <v>513</v>
      </c>
      <c r="C85" s="13" t="s">
        <v>531</v>
      </c>
      <c r="D85" s="9" t="s">
        <v>532</v>
      </c>
      <c r="E85" s="16" t="n">
        <v>46284</v>
      </c>
      <c r="F85" s="16" t="n">
        <v>46285</v>
      </c>
      <c r="G85" s="13" t="s">
        <v>370</v>
      </c>
      <c r="H85" s="7" t="n">
        <v>445000</v>
      </c>
      <c r="I85" s="7" t="n">
        <v>-66750</v>
      </c>
      <c r="J85" s="7" t="n">
        <v>-8469</v>
      </c>
      <c r="K85" s="7" t="n">
        <v>-10235</v>
      </c>
      <c r="L85" s="7" t="n">
        <v>359546</v>
      </c>
      <c r="M85" s="17" t="s">
        <v>77</v>
      </c>
    </row>
    <row r="86" customFormat="false" ht="15" hidden="false" customHeight="false" outlineLevel="0" collapsed="false">
      <c r="A86" s="16" t="n">
        <v>46289</v>
      </c>
      <c r="B86" s="13" t="s">
        <v>513</v>
      </c>
      <c r="C86" s="13" t="s">
        <v>533</v>
      </c>
      <c r="D86" s="9" t="s">
        <v>534</v>
      </c>
      <c r="E86" s="16" t="n">
        <v>46284</v>
      </c>
      <c r="F86" s="16" t="n">
        <v>46285</v>
      </c>
      <c r="G86" s="13" t="s">
        <v>370</v>
      </c>
      <c r="H86" s="7" t="n">
        <v>545000</v>
      </c>
      <c r="I86" s="7" t="n">
        <v>-81750</v>
      </c>
      <c r="J86" s="7" t="n">
        <v>-10372</v>
      </c>
      <c r="K86" s="7" t="n">
        <v>-12535</v>
      </c>
      <c r="L86" s="7" t="n">
        <v>440343</v>
      </c>
      <c r="M86" s="17" t="s">
        <v>77</v>
      </c>
    </row>
    <row r="87" customFormat="false" ht="15" hidden="false" customHeight="false" outlineLevel="0" collapsed="false">
      <c r="A87" s="16" t="n">
        <v>46289</v>
      </c>
      <c r="B87" s="13" t="s">
        <v>513</v>
      </c>
      <c r="C87" s="13" t="s">
        <v>535</v>
      </c>
      <c r="D87" s="9" t="s">
        <v>536</v>
      </c>
      <c r="E87" s="16" t="n">
        <v>46284</v>
      </c>
      <c r="F87" s="16" t="n">
        <v>46285</v>
      </c>
      <c r="G87" s="13" t="s">
        <v>370</v>
      </c>
      <c r="H87" s="7" t="n">
        <v>445000</v>
      </c>
      <c r="I87" s="7" t="n">
        <v>-66750</v>
      </c>
      <c r="J87" s="7" t="n">
        <v>-8469</v>
      </c>
      <c r="K87" s="7" t="n">
        <v>-10235</v>
      </c>
      <c r="L87" s="7" t="n">
        <v>359546</v>
      </c>
      <c r="M87" s="17" t="s">
        <v>77</v>
      </c>
    </row>
    <row r="88" customFormat="false" ht="15" hidden="false" customHeight="false" outlineLevel="0" collapsed="false">
      <c r="A88" s="16" t="n">
        <v>46289</v>
      </c>
      <c r="B88" s="13" t="s">
        <v>513</v>
      </c>
      <c r="C88" s="13" t="s">
        <v>537</v>
      </c>
      <c r="D88" s="9" t="s">
        <v>538</v>
      </c>
      <c r="E88" s="16" t="n">
        <v>46283</v>
      </c>
      <c r="F88" s="16" t="n">
        <v>46284</v>
      </c>
      <c r="G88" s="13" t="s">
        <v>370</v>
      </c>
      <c r="H88" s="7" t="n">
        <v>545000</v>
      </c>
      <c r="I88" s="7" t="n">
        <v>-81750</v>
      </c>
      <c r="J88" s="7" t="n">
        <v>-10372</v>
      </c>
      <c r="K88" s="7" t="n">
        <v>-12535</v>
      </c>
      <c r="L88" s="7" t="n">
        <v>440343</v>
      </c>
      <c r="M88" s="17" t="s">
        <v>77</v>
      </c>
    </row>
    <row r="89" customFormat="false" ht="15" hidden="false" customHeight="false" outlineLevel="0" collapsed="false">
      <c r="A89" s="16" t="n">
        <v>46289</v>
      </c>
      <c r="B89" s="13" t="s">
        <v>513</v>
      </c>
      <c r="C89" s="13" t="s">
        <v>539</v>
      </c>
      <c r="D89" s="9" t="s">
        <v>538</v>
      </c>
      <c r="E89" s="16" t="n">
        <v>46282</v>
      </c>
      <c r="F89" s="16" t="n">
        <v>46283</v>
      </c>
      <c r="G89" s="13" t="s">
        <v>370</v>
      </c>
      <c r="H89" s="7" t="n">
        <v>495000</v>
      </c>
      <c r="I89" s="7" t="n">
        <v>-74250</v>
      </c>
      <c r="J89" s="7" t="n">
        <v>-9420</v>
      </c>
      <c r="K89" s="7" t="n">
        <v>-11385</v>
      </c>
      <c r="L89" s="7" t="n">
        <v>399945</v>
      </c>
      <c r="M89" s="17" t="s">
        <v>77</v>
      </c>
    </row>
    <row r="90" customFormat="false" ht="15" hidden="false" customHeight="false" outlineLevel="0" collapsed="false">
      <c r="A90" s="16" t="n">
        <v>46296</v>
      </c>
      <c r="B90" s="13" t="s">
        <v>540</v>
      </c>
      <c r="C90" s="13" t="s">
        <v>541</v>
      </c>
      <c r="D90" s="9" t="s">
        <v>542</v>
      </c>
      <c r="E90" s="16" t="n">
        <v>46295</v>
      </c>
      <c r="F90" s="16" t="n">
        <v>46296</v>
      </c>
      <c r="G90" s="13" t="s">
        <v>370</v>
      </c>
      <c r="H90" s="7" t="n">
        <v>395000</v>
      </c>
      <c r="I90" s="7" t="n">
        <v>-59250</v>
      </c>
      <c r="J90" s="7" t="n">
        <v>-7517</v>
      </c>
      <c r="K90" s="7" t="n">
        <v>-9085</v>
      </c>
      <c r="L90" s="7" t="n">
        <v>319148</v>
      </c>
      <c r="M90" s="24" t="s">
        <v>543</v>
      </c>
    </row>
    <row r="91" customFormat="false" ht="15" hidden="false" customHeight="false" outlineLevel="0" collapsed="false">
      <c r="A91" s="16" t="n">
        <v>46296</v>
      </c>
      <c r="B91" s="13" t="s">
        <v>540</v>
      </c>
      <c r="C91" s="13" t="s">
        <v>544</v>
      </c>
      <c r="D91" s="9" t="s">
        <v>545</v>
      </c>
      <c r="E91" s="16" t="n">
        <v>46294</v>
      </c>
      <c r="F91" s="16" t="n">
        <v>46295</v>
      </c>
      <c r="G91" s="13" t="s">
        <v>370</v>
      </c>
      <c r="H91" s="7" t="n">
        <v>495000</v>
      </c>
      <c r="I91" s="7" t="n">
        <v>-74250</v>
      </c>
      <c r="J91" s="7" t="n">
        <v>-9420</v>
      </c>
      <c r="K91" s="7" t="n">
        <v>-11385</v>
      </c>
      <c r="L91" s="7" t="n">
        <v>399945</v>
      </c>
      <c r="M91" s="24" t="s">
        <v>543</v>
      </c>
    </row>
    <row r="92" customFormat="false" ht="15" hidden="false" customHeight="false" outlineLevel="0" collapsed="false">
      <c r="A92" s="16" t="n">
        <v>46296</v>
      </c>
      <c r="B92" s="13" t="s">
        <v>540</v>
      </c>
      <c r="C92" s="13" t="s">
        <v>546</v>
      </c>
      <c r="D92" s="9" t="s">
        <v>547</v>
      </c>
      <c r="E92" s="16" t="n">
        <v>46293</v>
      </c>
      <c r="F92" s="16" t="n">
        <v>46294</v>
      </c>
      <c r="G92" s="13" t="s">
        <v>370</v>
      </c>
      <c r="H92" s="7" t="n">
        <v>395000</v>
      </c>
      <c r="I92" s="7" t="n">
        <v>-59250</v>
      </c>
      <c r="J92" s="7" t="n">
        <v>-7517</v>
      </c>
      <c r="K92" s="7" t="n">
        <v>-9085</v>
      </c>
      <c r="L92" s="7" t="n">
        <v>319148</v>
      </c>
      <c r="M92" s="24" t="s">
        <v>543</v>
      </c>
    </row>
    <row r="93" customFormat="false" ht="15" hidden="false" customHeight="false" outlineLevel="0" collapsed="false">
      <c r="A93" s="16" t="n">
        <v>46296</v>
      </c>
      <c r="B93" s="13" t="s">
        <v>540</v>
      </c>
      <c r="C93" s="13" t="s">
        <v>548</v>
      </c>
      <c r="D93" s="9" t="s">
        <v>549</v>
      </c>
      <c r="E93" s="16" t="n">
        <v>46293</v>
      </c>
      <c r="F93" s="16" t="n">
        <v>46294</v>
      </c>
      <c r="G93" s="13" t="s">
        <v>370</v>
      </c>
      <c r="H93" s="7" t="n">
        <v>495000</v>
      </c>
      <c r="I93" s="7" t="n">
        <v>-74250</v>
      </c>
      <c r="J93" s="7" t="n">
        <v>-9420</v>
      </c>
      <c r="K93" s="7" t="n">
        <v>-11385</v>
      </c>
      <c r="L93" s="7" t="n">
        <v>399945</v>
      </c>
      <c r="M93" s="24" t="s">
        <v>543</v>
      </c>
    </row>
    <row r="94" customFormat="false" ht="15" hidden="false" customHeight="false" outlineLevel="0" collapsed="false">
      <c r="A94" s="16" t="n">
        <v>46296</v>
      </c>
      <c r="B94" s="13" t="s">
        <v>540</v>
      </c>
      <c r="C94" s="13" t="s">
        <v>550</v>
      </c>
      <c r="D94" s="9" t="s">
        <v>551</v>
      </c>
      <c r="E94" s="16" t="n">
        <v>46293</v>
      </c>
      <c r="F94" s="16" t="n">
        <v>46294</v>
      </c>
      <c r="G94" s="13" t="s">
        <v>370</v>
      </c>
      <c r="H94" s="7" t="n">
        <v>595000</v>
      </c>
      <c r="I94" s="7" t="n">
        <v>-89250</v>
      </c>
      <c r="J94" s="7" t="n">
        <v>-11323</v>
      </c>
      <c r="K94" s="7" t="n">
        <v>-13685</v>
      </c>
      <c r="L94" s="7" t="n">
        <v>480742</v>
      </c>
      <c r="M94" s="24" t="s">
        <v>543</v>
      </c>
    </row>
    <row r="95" customFormat="false" ht="15" hidden="false" customHeight="false" outlineLevel="0" collapsed="false">
      <c r="A95" s="16" t="n">
        <v>46296</v>
      </c>
      <c r="B95" s="13" t="s">
        <v>540</v>
      </c>
      <c r="C95" s="13" t="s">
        <v>552</v>
      </c>
      <c r="D95" s="9" t="s">
        <v>553</v>
      </c>
      <c r="E95" s="16" t="n">
        <v>46292</v>
      </c>
      <c r="F95" s="16" t="n">
        <v>46293</v>
      </c>
      <c r="G95" s="13" t="s">
        <v>370</v>
      </c>
      <c r="H95" s="7" t="n">
        <v>595000</v>
      </c>
      <c r="I95" s="7" t="n">
        <v>-89250</v>
      </c>
      <c r="J95" s="7" t="n">
        <v>-11323</v>
      </c>
      <c r="K95" s="7" t="n">
        <v>-13685</v>
      </c>
      <c r="L95" s="7" t="n">
        <v>480742</v>
      </c>
      <c r="M95" s="24" t="s">
        <v>543</v>
      </c>
    </row>
    <row r="96" customFormat="false" ht="15" hidden="false" customHeight="false" outlineLevel="0" collapsed="false">
      <c r="A96" s="16" t="n">
        <v>46296</v>
      </c>
      <c r="B96" s="13" t="s">
        <v>540</v>
      </c>
      <c r="C96" s="13" t="s">
        <v>554</v>
      </c>
      <c r="D96" s="9" t="s">
        <v>555</v>
      </c>
      <c r="E96" s="16" t="n">
        <v>46292</v>
      </c>
      <c r="F96" s="16" t="n">
        <v>46293</v>
      </c>
      <c r="G96" s="13" t="s">
        <v>370</v>
      </c>
      <c r="H96" s="7" t="n">
        <v>495000</v>
      </c>
      <c r="I96" s="7" t="n">
        <v>-74250</v>
      </c>
      <c r="J96" s="7" t="n">
        <v>-9420</v>
      </c>
      <c r="K96" s="7" t="n">
        <v>-11385</v>
      </c>
      <c r="L96" s="7" t="n">
        <v>399945</v>
      </c>
      <c r="M96" s="24" t="s">
        <v>543</v>
      </c>
    </row>
    <row r="97" customFormat="false" ht="15" hidden="false" customHeight="false" outlineLevel="0" collapsed="false">
      <c r="A97" s="16" t="n">
        <v>46296</v>
      </c>
      <c r="B97" s="13" t="s">
        <v>540</v>
      </c>
      <c r="C97" s="13" t="s">
        <v>556</v>
      </c>
      <c r="D97" s="9" t="s">
        <v>557</v>
      </c>
      <c r="E97" s="16" t="n">
        <v>46292</v>
      </c>
      <c r="F97" s="16" t="n">
        <v>46293</v>
      </c>
      <c r="G97" s="13" t="s">
        <v>370</v>
      </c>
      <c r="H97" s="7" t="n">
        <v>395000</v>
      </c>
      <c r="I97" s="7" t="n">
        <v>-59250</v>
      </c>
      <c r="J97" s="7" t="n">
        <v>-7517</v>
      </c>
      <c r="K97" s="7" t="n">
        <v>-9085</v>
      </c>
      <c r="L97" s="7" t="n">
        <v>319148</v>
      </c>
      <c r="M97" s="24" t="s">
        <v>543</v>
      </c>
    </row>
    <row r="98" customFormat="false" ht="15" hidden="false" customHeight="false" outlineLevel="0" collapsed="false">
      <c r="A98" s="16" t="n">
        <v>46296</v>
      </c>
      <c r="B98" s="13" t="s">
        <v>540</v>
      </c>
      <c r="C98" s="13" t="s">
        <v>558</v>
      </c>
      <c r="D98" s="9" t="s">
        <v>559</v>
      </c>
      <c r="E98" s="16" t="n">
        <v>46291</v>
      </c>
      <c r="F98" s="16" t="n">
        <v>46292</v>
      </c>
      <c r="G98" s="13" t="s">
        <v>370</v>
      </c>
      <c r="H98" s="7" t="n">
        <v>645000</v>
      </c>
      <c r="I98" s="7" t="n">
        <v>-96750</v>
      </c>
      <c r="J98" s="7" t="n">
        <v>-12275</v>
      </c>
      <c r="K98" s="7" t="n">
        <v>-14835</v>
      </c>
      <c r="L98" s="7" t="n">
        <v>521140</v>
      </c>
      <c r="M98" s="24" t="s">
        <v>543</v>
      </c>
    </row>
    <row r="99" customFormat="false" ht="15" hidden="false" customHeight="false" outlineLevel="0" collapsed="false">
      <c r="A99" s="16" t="n">
        <v>46296</v>
      </c>
      <c r="B99" s="13" t="s">
        <v>540</v>
      </c>
      <c r="C99" s="13" t="s">
        <v>560</v>
      </c>
      <c r="D99" s="9" t="s">
        <v>561</v>
      </c>
      <c r="E99" s="16" t="n">
        <v>46291</v>
      </c>
      <c r="F99" s="16" t="n">
        <v>46292</v>
      </c>
      <c r="G99" s="13" t="s">
        <v>370</v>
      </c>
      <c r="H99" s="7" t="n">
        <v>445000</v>
      </c>
      <c r="I99" s="7" t="n">
        <v>-66750</v>
      </c>
      <c r="J99" s="7" t="n">
        <v>-8469</v>
      </c>
      <c r="K99" s="7" t="n">
        <v>-10235</v>
      </c>
      <c r="L99" s="7" t="n">
        <v>359546</v>
      </c>
      <c r="M99" s="24" t="s">
        <v>543</v>
      </c>
    </row>
    <row r="100" customFormat="false" ht="15" hidden="false" customHeight="false" outlineLevel="0" collapsed="false">
      <c r="A100" s="16" t="n">
        <v>46296</v>
      </c>
      <c r="B100" s="13" t="s">
        <v>540</v>
      </c>
      <c r="C100" s="13" t="s">
        <v>562</v>
      </c>
      <c r="D100" s="9" t="s">
        <v>563</v>
      </c>
      <c r="E100" s="16" t="n">
        <v>46291</v>
      </c>
      <c r="F100" s="16" t="n">
        <v>46292</v>
      </c>
      <c r="G100" s="13" t="s">
        <v>370</v>
      </c>
      <c r="H100" s="7" t="n">
        <v>545000</v>
      </c>
      <c r="I100" s="7" t="n">
        <v>-81750</v>
      </c>
      <c r="J100" s="7" t="n">
        <v>-10372</v>
      </c>
      <c r="K100" s="7" t="n">
        <v>-12535</v>
      </c>
      <c r="L100" s="7" t="n">
        <v>440343</v>
      </c>
      <c r="M100" s="24" t="s">
        <v>543</v>
      </c>
    </row>
    <row r="101" customFormat="false" ht="15" hidden="false" customHeight="false" outlineLevel="0" collapsed="false">
      <c r="A101" s="16" t="n">
        <v>46296</v>
      </c>
      <c r="B101" s="13" t="s">
        <v>540</v>
      </c>
      <c r="C101" s="13" t="s">
        <v>564</v>
      </c>
      <c r="D101" s="9" t="s">
        <v>565</v>
      </c>
      <c r="E101" s="16" t="n">
        <v>46291</v>
      </c>
      <c r="F101" s="16" t="n">
        <v>46292</v>
      </c>
      <c r="G101" s="13" t="s">
        <v>370</v>
      </c>
      <c r="H101" s="7" t="n">
        <v>545000</v>
      </c>
      <c r="I101" s="7" t="n">
        <v>-81750</v>
      </c>
      <c r="J101" s="7" t="n">
        <v>-10372</v>
      </c>
      <c r="K101" s="7" t="n">
        <v>-12535</v>
      </c>
      <c r="L101" s="7" t="n">
        <v>440343</v>
      </c>
      <c r="M101" s="24" t="s">
        <v>543</v>
      </c>
    </row>
    <row r="102" customFormat="false" ht="15" hidden="false" customHeight="false" outlineLevel="0" collapsed="false">
      <c r="A102" s="16" t="n">
        <v>46296</v>
      </c>
      <c r="B102" s="13" t="s">
        <v>540</v>
      </c>
      <c r="C102" s="13" t="s">
        <v>566</v>
      </c>
      <c r="D102" s="9" t="s">
        <v>567</v>
      </c>
      <c r="E102" s="16" t="n">
        <v>46291</v>
      </c>
      <c r="F102" s="16" t="n">
        <v>46292</v>
      </c>
      <c r="G102" s="13" t="s">
        <v>370</v>
      </c>
      <c r="H102" s="7" t="n">
        <v>545000</v>
      </c>
      <c r="I102" s="7" t="n">
        <v>-81750</v>
      </c>
      <c r="J102" s="7" t="n">
        <v>-10372</v>
      </c>
      <c r="K102" s="7" t="n">
        <v>-12535</v>
      </c>
      <c r="L102" s="7" t="n">
        <v>440343</v>
      </c>
      <c r="M102" s="24" t="s">
        <v>543</v>
      </c>
    </row>
    <row r="103" customFormat="false" ht="15" hidden="false" customHeight="false" outlineLevel="0" collapsed="false">
      <c r="A103" s="16" t="n">
        <v>46296</v>
      </c>
      <c r="B103" s="13" t="s">
        <v>540</v>
      </c>
      <c r="C103" s="13" t="s">
        <v>568</v>
      </c>
      <c r="D103" s="9" t="s">
        <v>569</v>
      </c>
      <c r="E103" s="16" t="n">
        <v>46291</v>
      </c>
      <c r="F103" s="16" t="n">
        <v>46292</v>
      </c>
      <c r="G103" s="13" t="s">
        <v>370</v>
      </c>
      <c r="H103" s="7" t="n">
        <v>645000</v>
      </c>
      <c r="I103" s="7" t="n">
        <v>-96750</v>
      </c>
      <c r="J103" s="7" t="n">
        <v>-12275</v>
      </c>
      <c r="K103" s="7" t="n">
        <v>-14835</v>
      </c>
      <c r="L103" s="7" t="n">
        <v>521140</v>
      </c>
      <c r="M103" s="24" t="s">
        <v>543</v>
      </c>
    </row>
    <row r="104" customFormat="false" ht="15" hidden="false" customHeight="false" outlineLevel="0" collapsed="false">
      <c r="A104" s="16" t="n">
        <v>46296</v>
      </c>
      <c r="B104" s="13" t="s">
        <v>540</v>
      </c>
      <c r="C104" s="13" t="s">
        <v>570</v>
      </c>
      <c r="D104" s="9" t="s">
        <v>571</v>
      </c>
      <c r="E104" s="16" t="n">
        <v>46291</v>
      </c>
      <c r="F104" s="16" t="n">
        <v>46292</v>
      </c>
      <c r="G104" s="13" t="s">
        <v>370</v>
      </c>
      <c r="H104" s="7" t="n">
        <v>545000</v>
      </c>
      <c r="I104" s="7" t="n">
        <v>-81750</v>
      </c>
      <c r="J104" s="7" t="n">
        <v>-10372</v>
      </c>
      <c r="K104" s="7" t="n">
        <v>-12535</v>
      </c>
      <c r="L104" s="7" t="n">
        <v>440343</v>
      </c>
      <c r="M104" s="24" t="s">
        <v>543</v>
      </c>
    </row>
    <row r="105" customFormat="false" ht="15" hidden="false" customHeight="false" outlineLevel="0" collapsed="false">
      <c r="A105" s="16" t="n">
        <v>46296</v>
      </c>
      <c r="B105" s="13" t="s">
        <v>540</v>
      </c>
      <c r="C105" s="13" t="s">
        <v>572</v>
      </c>
      <c r="D105" s="9" t="s">
        <v>573</v>
      </c>
      <c r="E105" s="16" t="n">
        <v>46291</v>
      </c>
      <c r="F105" s="16" t="n">
        <v>46292</v>
      </c>
      <c r="G105" s="13" t="s">
        <v>370</v>
      </c>
      <c r="H105" s="7" t="n">
        <v>645000</v>
      </c>
      <c r="I105" s="7" t="n">
        <v>-96750</v>
      </c>
      <c r="J105" s="7" t="n">
        <v>-12275</v>
      </c>
      <c r="K105" s="7" t="n">
        <v>-14835</v>
      </c>
      <c r="L105" s="7" t="n">
        <v>521140</v>
      </c>
      <c r="M105" s="24" t="s">
        <v>543</v>
      </c>
    </row>
    <row r="106" customFormat="false" ht="15" hidden="false" customHeight="false" outlineLevel="0" collapsed="false">
      <c r="A106" s="16" t="n">
        <v>46296</v>
      </c>
      <c r="B106" s="13" t="s">
        <v>540</v>
      </c>
      <c r="C106" s="13" t="s">
        <v>574</v>
      </c>
      <c r="D106" s="9" t="s">
        <v>575</v>
      </c>
      <c r="E106" s="16" t="n">
        <v>46290</v>
      </c>
      <c r="F106" s="16" t="n">
        <v>46291</v>
      </c>
      <c r="G106" s="13" t="s">
        <v>370</v>
      </c>
      <c r="H106" s="7" t="n">
        <v>445000</v>
      </c>
      <c r="I106" s="7" t="n">
        <v>-66750</v>
      </c>
      <c r="J106" s="7" t="n">
        <v>-8469</v>
      </c>
      <c r="K106" s="7" t="n">
        <v>-10235</v>
      </c>
      <c r="L106" s="7" t="n">
        <v>359546</v>
      </c>
      <c r="M106" s="24" t="s">
        <v>543</v>
      </c>
    </row>
    <row r="107" customFormat="false" ht="15" hidden="false" customHeight="false" outlineLevel="0" collapsed="false">
      <c r="A107" s="16" t="n">
        <v>46296</v>
      </c>
      <c r="B107" s="13" t="s">
        <v>540</v>
      </c>
      <c r="C107" s="13" t="s">
        <v>576</v>
      </c>
      <c r="D107" s="9" t="s">
        <v>577</v>
      </c>
      <c r="E107" s="16" t="n">
        <v>46290</v>
      </c>
      <c r="F107" s="16" t="n">
        <v>46291</v>
      </c>
      <c r="G107" s="13" t="s">
        <v>370</v>
      </c>
      <c r="H107" s="7" t="n">
        <v>545000</v>
      </c>
      <c r="I107" s="7" t="n">
        <v>-81750</v>
      </c>
      <c r="J107" s="7" t="n">
        <v>-10372</v>
      </c>
      <c r="K107" s="7" t="n">
        <v>-12535</v>
      </c>
      <c r="L107" s="7" t="n">
        <v>440343</v>
      </c>
      <c r="M107" s="24" t="s">
        <v>543</v>
      </c>
    </row>
    <row r="108" customFormat="false" ht="15" hidden="false" customHeight="false" outlineLevel="0" collapsed="false">
      <c r="A108" s="16" t="n">
        <v>46296</v>
      </c>
      <c r="B108" s="13" t="s">
        <v>540</v>
      </c>
      <c r="C108" s="13" t="s">
        <v>578</v>
      </c>
      <c r="D108" s="9" t="s">
        <v>571</v>
      </c>
      <c r="E108" s="16" t="n">
        <v>46290</v>
      </c>
      <c r="F108" s="16" t="n">
        <v>46291</v>
      </c>
      <c r="G108" s="13" t="s">
        <v>370</v>
      </c>
      <c r="H108" s="7" t="n">
        <v>545000</v>
      </c>
      <c r="I108" s="7" t="n">
        <v>-81750</v>
      </c>
      <c r="J108" s="7" t="n">
        <v>-10372</v>
      </c>
      <c r="K108" s="7" t="n">
        <v>-12535</v>
      </c>
      <c r="L108" s="7" t="n">
        <v>440343</v>
      </c>
      <c r="M108" s="24" t="s">
        <v>543</v>
      </c>
    </row>
    <row r="109" customFormat="false" ht="15" hidden="false" customHeight="false" outlineLevel="0" collapsed="false">
      <c r="A109" s="16" t="n">
        <v>46296</v>
      </c>
      <c r="B109" s="13" t="s">
        <v>540</v>
      </c>
      <c r="C109" s="13" t="s">
        <v>579</v>
      </c>
      <c r="D109" s="9" t="s">
        <v>580</v>
      </c>
      <c r="E109" s="16" t="n">
        <v>46289</v>
      </c>
      <c r="F109" s="16" t="n">
        <v>46290</v>
      </c>
      <c r="G109" s="13" t="s">
        <v>370</v>
      </c>
      <c r="H109" s="7" t="n">
        <v>495000</v>
      </c>
      <c r="I109" s="7" t="n">
        <v>-74250</v>
      </c>
      <c r="J109" s="7" t="n">
        <v>-9420</v>
      </c>
      <c r="K109" s="7" t="n">
        <v>-11385</v>
      </c>
      <c r="L109" s="7" t="n">
        <v>399945</v>
      </c>
      <c r="M109" s="24" t="s">
        <v>543</v>
      </c>
    </row>
    <row r="110" customFormat="false" ht="15" hidden="false" customHeight="false" outlineLevel="0" collapsed="false">
      <c r="A110" s="16" t="n">
        <v>46296</v>
      </c>
      <c r="B110" s="13" t="s">
        <v>540</v>
      </c>
      <c r="C110" s="13" t="s">
        <v>581</v>
      </c>
      <c r="D110" s="9" t="s">
        <v>582</v>
      </c>
      <c r="E110" s="16" t="n">
        <v>46288</v>
      </c>
      <c r="F110" s="16" t="n">
        <v>46289</v>
      </c>
      <c r="G110" s="13" t="s">
        <v>370</v>
      </c>
      <c r="H110" s="7" t="n">
        <v>495000</v>
      </c>
      <c r="I110" s="7" t="n">
        <v>-74250</v>
      </c>
      <c r="J110" s="7" t="n">
        <v>-9420</v>
      </c>
      <c r="K110" s="7" t="n">
        <v>-11385</v>
      </c>
      <c r="L110" s="7" t="n">
        <v>399945</v>
      </c>
      <c r="M110" s="24" t="s">
        <v>543</v>
      </c>
    </row>
    <row r="111" customFormat="false" ht="15" hidden="false" customHeight="false" outlineLevel="0" collapsed="false">
      <c r="A111" s="16" t="n">
        <v>46296</v>
      </c>
      <c r="B111" s="13" t="s">
        <v>540</v>
      </c>
      <c r="C111" s="13" t="s">
        <v>583</v>
      </c>
      <c r="D111" s="9" t="s">
        <v>584</v>
      </c>
      <c r="E111" s="16" t="n">
        <v>46288</v>
      </c>
      <c r="F111" s="16" t="n">
        <v>46289</v>
      </c>
      <c r="G111" s="13" t="s">
        <v>370</v>
      </c>
      <c r="H111" s="7" t="n">
        <v>395000</v>
      </c>
      <c r="I111" s="7" t="n">
        <v>-59250</v>
      </c>
      <c r="J111" s="7" t="n">
        <v>-7517</v>
      </c>
      <c r="K111" s="7" t="n">
        <v>-9085</v>
      </c>
      <c r="L111" s="7" t="n">
        <v>319148</v>
      </c>
      <c r="M111" s="24" t="s">
        <v>543</v>
      </c>
    </row>
    <row r="112" customFormat="false" ht="15" hidden="false" customHeight="false" outlineLevel="0" collapsed="false">
      <c r="A112" s="16" t="n">
        <v>46296</v>
      </c>
      <c r="B112" s="13" t="s">
        <v>540</v>
      </c>
      <c r="C112" s="13" t="s">
        <v>585</v>
      </c>
      <c r="D112" s="9" t="s">
        <v>586</v>
      </c>
      <c r="E112" s="16" t="n">
        <v>46281</v>
      </c>
      <c r="F112" s="16" t="n">
        <v>46291</v>
      </c>
      <c r="G112" s="13" t="s">
        <v>370</v>
      </c>
      <c r="H112" s="7" t="n">
        <v>5100000</v>
      </c>
      <c r="I112" s="7" t="n">
        <v>-765000</v>
      </c>
      <c r="J112" s="7" t="n">
        <v>-97053</v>
      </c>
      <c r="K112" s="7" t="n">
        <v>-117300</v>
      </c>
      <c r="L112" s="7" t="n">
        <v>4120647</v>
      </c>
      <c r="M112" s="24" t="s">
        <v>543</v>
      </c>
    </row>
    <row r="113" customFormat="false" ht="15" hidden="false" customHeight="true" outlineLevel="0" collapsed="false">
      <c r="A113" s="21" t="s">
        <v>7</v>
      </c>
      <c r="B113" s="21"/>
      <c r="C113" s="21"/>
      <c r="D113" s="21"/>
      <c r="E113" s="21"/>
      <c r="F113" s="21"/>
      <c r="G113" s="21"/>
      <c r="H113" s="11" t="n">
        <f aca="false">SUM(H5:H112)</f>
        <v>60975000</v>
      </c>
      <c r="I113" s="11" t="n">
        <f aca="false">SUM(I5:I112)</f>
        <v>-9146250</v>
      </c>
      <c r="J113" s="11" t="n">
        <f aca="false">SUM(J5:J112)</f>
        <v>-1160400</v>
      </c>
      <c r="K113" s="11" t="n">
        <f aca="false">SUM(K5:K112)</f>
        <v>-1402425</v>
      </c>
      <c r="L113" s="11" t="n">
        <f aca="false">SUM(L5:L112)</f>
        <v>49265925</v>
      </c>
    </row>
  </sheetData>
  <autoFilter ref="A4:M112"/>
  <mergeCells count="1">
    <mergeCell ref="A113:G1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98B2B"/>
    <pageSetUpPr fitToPage="true"/>
  </sheetPr>
  <dimension ref="A1:J12"/>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2"/>
    <col collapsed="false" customWidth="true" hidden="false" outlineLevel="0" max="8" min="3" style="0" width="16"/>
    <col collapsed="false" customWidth="true" hidden="false" outlineLevel="0" max="9" min="9" style="0" width="18"/>
    <col collapsed="false" customWidth="true" hidden="false" outlineLevel="0" max="10" min="10" style="0" width="46"/>
  </cols>
  <sheetData>
    <row r="1" customFormat="false" ht="25.5" hidden="false" customHeight="true" outlineLevel="0" collapsed="false">
      <c r="A1" s="1" t="s">
        <v>587</v>
      </c>
    </row>
    <row r="2" customFormat="false" ht="15" hidden="false" customHeight="false" outlineLevel="0" collapsed="false">
      <c r="A2" s="2" t="s">
        <v>588</v>
      </c>
    </row>
    <row r="4" customFormat="false" ht="31.5" hidden="false" customHeight="true" outlineLevel="0" collapsed="false">
      <c r="A4" s="5" t="s">
        <v>360</v>
      </c>
      <c r="B4" s="5" t="s">
        <v>589</v>
      </c>
      <c r="C4" s="5" t="s">
        <v>590</v>
      </c>
      <c r="D4" s="5" t="s">
        <v>591</v>
      </c>
      <c r="E4" s="5" t="s">
        <v>592</v>
      </c>
      <c r="F4" s="5" t="s">
        <v>593</v>
      </c>
      <c r="G4" s="5" t="s">
        <v>594</v>
      </c>
      <c r="H4" s="5" t="s">
        <v>595</v>
      </c>
      <c r="I4" s="5" t="s">
        <v>72</v>
      </c>
      <c r="J4" s="5" t="s">
        <v>8</v>
      </c>
    </row>
    <row r="5" customFormat="false" ht="15" hidden="false" customHeight="false" outlineLevel="0" collapsed="false">
      <c r="A5" s="16" t="n">
        <v>46268</v>
      </c>
      <c r="B5" s="13" t="n">
        <f aca="false">COUNTIFS(Booking_الحجوزات!$A$5:$A$112,A5)</f>
        <v>27</v>
      </c>
      <c r="C5" s="7" t="n">
        <f aca="false">SUMIFS(Booking_الحجوزات!$L$5:$L$112,Booking_الحجوزات!$A$5:$A$112,A5)</f>
        <v>11654952</v>
      </c>
      <c r="D5" s="7" t="n">
        <f aca="false">SUMIFS(Booking_الحجوزات!$L$5:$L$112,Booking_الحجوزات!$A$5:$A$112,A5,Booking_الحجوزات!$E$5:$E$112,"&gt;="&amp;DATE(2026,9,1))</f>
        <v>1999725</v>
      </c>
      <c r="E5" s="7" t="n">
        <f aca="false">C5-D5</f>
        <v>9655227</v>
      </c>
      <c r="F5" s="8" t="n">
        <v>1999726</v>
      </c>
      <c r="G5" s="7" t="n">
        <f aca="false">D5-F5</f>
        <v>-1</v>
      </c>
      <c r="H5" s="16" t="n">
        <v>46266</v>
      </c>
      <c r="I5" s="17" t="s">
        <v>77</v>
      </c>
      <c r="J5" s="9" t="s">
        <v>596</v>
      </c>
    </row>
    <row r="6" customFormat="false" ht="15" hidden="false" customHeight="false" outlineLevel="0" collapsed="false">
      <c r="A6" s="16" t="n">
        <v>46275</v>
      </c>
      <c r="B6" s="13" t="n">
        <f aca="false">COUNTIFS(Booking_الحجوزات!$A$5:$A$112,A6)</f>
        <v>21</v>
      </c>
      <c r="C6" s="7" t="n">
        <f aca="false">SUMIFS(Booking_الحجوزات!$L$5:$L$112,Booking_الحجوزات!$A$5:$A$112,A6)</f>
        <v>8924022</v>
      </c>
      <c r="D6" s="7" t="n">
        <f aca="false">SUMIFS(Booking_الحجوزات!$L$5:$L$112,Booking_الحجوزات!$A$5:$A$112,A6,Booking_الحجوزات!$E$5:$E$112,"&gt;="&amp;DATE(2026,9,1))</f>
        <v>8924022</v>
      </c>
      <c r="E6" s="7" t="n">
        <f aca="false">C6-D6</f>
        <v>0</v>
      </c>
      <c r="F6" s="8" t="n">
        <v>8924029</v>
      </c>
      <c r="G6" s="7" t="n">
        <f aca="false">D6-F6</f>
        <v>-7</v>
      </c>
      <c r="H6" s="16" t="n">
        <v>46275</v>
      </c>
      <c r="I6" s="17" t="s">
        <v>77</v>
      </c>
      <c r="J6" s="9"/>
    </row>
    <row r="7" customFormat="false" ht="15" hidden="false" customHeight="false" outlineLevel="0" collapsed="false">
      <c r="A7" s="16" t="n">
        <v>46282</v>
      </c>
      <c r="B7" s="13" t="n">
        <f aca="false">COUNTIFS(Booking_الحجوزات!$A$5:$A$112,A7)</f>
        <v>23</v>
      </c>
      <c r="C7" s="7" t="n">
        <f aca="false">SUMIFS(Booking_الحجوزات!$L$5:$L$112,Booking_الحجوزات!$A$5:$A$112,A7)</f>
        <v>9562316</v>
      </c>
      <c r="D7" s="7" t="n">
        <f aca="false">SUMIFS(Booking_الحجوزات!$L$5:$L$112,Booking_الحجوزات!$A$5:$A$112,A7,Booking_الحجوزات!$E$5:$E$112,"&gt;="&amp;DATE(2026,9,1))</f>
        <v>9562316</v>
      </c>
      <c r="E7" s="7" t="n">
        <f aca="false">C7-D7</f>
        <v>0</v>
      </c>
      <c r="F7" s="8" t="n">
        <v>9562325</v>
      </c>
      <c r="G7" s="7" t="n">
        <f aca="false">D7-F7</f>
        <v>-9</v>
      </c>
      <c r="H7" s="16" t="n">
        <v>46284</v>
      </c>
      <c r="I7" s="17" t="s">
        <v>77</v>
      </c>
      <c r="J7" s="9" t="s">
        <v>597</v>
      </c>
    </row>
    <row r="8" customFormat="false" ht="15" hidden="false" customHeight="false" outlineLevel="0" collapsed="false">
      <c r="A8" s="16" t="n">
        <v>46289</v>
      </c>
      <c r="B8" s="13" t="n">
        <f aca="false">COUNTIFS(Booking_الحجوزات!$A$5:$A$112,A8)</f>
        <v>14</v>
      </c>
      <c r="C8" s="7" t="n">
        <f aca="false">SUMIFS(Booking_الحجوزات!$L$5:$L$112,Booking_الحجوزات!$A$5:$A$112,A8)</f>
        <v>5841617</v>
      </c>
      <c r="D8" s="7" t="n">
        <f aca="false">SUMIFS(Booking_الحجوزات!$L$5:$L$112,Booking_الحجوزات!$A$5:$A$112,A8,Booking_الحجوزات!$E$5:$E$112,"&gt;="&amp;DATE(2026,9,1))</f>
        <v>5841617</v>
      </c>
      <c r="E8" s="7" t="n">
        <f aca="false">C8-D8</f>
        <v>0</v>
      </c>
      <c r="F8" s="8" t="n">
        <v>5841623</v>
      </c>
      <c r="G8" s="7" t="n">
        <f aca="false">D8-F8</f>
        <v>-6</v>
      </c>
      <c r="H8" s="16" t="n">
        <v>46289</v>
      </c>
      <c r="I8" s="17" t="s">
        <v>77</v>
      </c>
      <c r="J8" s="9"/>
    </row>
    <row r="9" customFormat="false" ht="23.85" hidden="false" customHeight="false" outlineLevel="0" collapsed="false">
      <c r="A9" s="16" t="n">
        <v>46296</v>
      </c>
      <c r="B9" s="13" t="n">
        <f aca="false">COUNTIFS(Booking_الحجوزات!$A$5:$A$112,A9)</f>
        <v>23</v>
      </c>
      <c r="C9" s="7" t="n">
        <f aca="false">SUMIFS(Booking_الحجوزات!$L$5:$L$112,Booking_الحجوزات!$A$5:$A$112,A9)</f>
        <v>13283018</v>
      </c>
      <c r="D9" s="7" t="n">
        <f aca="false">SUMIFS(Booking_الحجوزات!$L$5:$L$112,Booking_الحجوزات!$A$5:$A$112,A9,Booking_الحجوزات!$E$5:$E$112,"&gt;="&amp;DATE(2026,9,1))</f>
        <v>13283018</v>
      </c>
      <c r="E9" s="7" t="n">
        <f aca="false">C9-D9</f>
        <v>0</v>
      </c>
      <c r="F9" s="8" t="n">
        <v>12963879</v>
      </c>
      <c r="G9" s="7" t="n">
        <f aca="false">D9-F9</f>
        <v>319139</v>
      </c>
      <c r="H9" s="16" t="n">
        <v>46296</v>
      </c>
      <c r="I9" s="24" t="s">
        <v>543</v>
      </c>
      <c r="J9" s="9" t="s">
        <v>598</v>
      </c>
    </row>
    <row r="10" customFormat="false" ht="15" hidden="false" customHeight="false" outlineLevel="0" collapsed="false">
      <c r="A10" s="21" t="s">
        <v>7</v>
      </c>
      <c r="B10" s="11" t="n">
        <f aca="false">SUM(B5:B9)</f>
        <v>108</v>
      </c>
      <c r="C10" s="11" t="n">
        <f aca="false">SUM(C5:C9)</f>
        <v>49265925</v>
      </c>
      <c r="D10" s="11" t="n">
        <f aca="false">SUM(D5:D9)</f>
        <v>39610698</v>
      </c>
      <c r="E10" s="11" t="n">
        <f aca="false">SUM(E5:E9)</f>
        <v>9655227</v>
      </c>
      <c r="F10" s="11" t="n">
        <f aca="false">SUM(F5:F9)</f>
        <v>39291582</v>
      </c>
      <c r="G10" s="11" t="n">
        <f aca="false">SUM(G5:G9)</f>
        <v>319116</v>
      </c>
      <c r="H10" s="12"/>
      <c r="I10" s="12"/>
      <c r="J10" s="12"/>
    </row>
    <row r="12" customFormat="false" ht="15" hidden="false" customHeight="false" outlineLevel="0" collapsed="false">
      <c r="A12" s="2" t="s">
        <v>599</v>
      </c>
    </row>
  </sheetData>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A7A7A"/>
    <pageSetUpPr fitToPage="true"/>
  </sheetPr>
  <dimension ref="A1:G37"/>
  <sheetViews>
    <sheetView showFormulas="false" showGridLines="false" showRowColHeaders="true" showZeros="true" rightToLeft="true" tabSelected="false" showOutlineSymbols="true" defaultGridColor="true" view="normal" topLeftCell="A1" colorId="64" zoomScale="100" zoomScaleNormal="100" zoomScalePageLayoutView="100" workbookViewId="0">
      <pane xSplit="0" ySplit="4" topLeftCell="A5"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16"/>
    <col collapsed="false" customWidth="true" hidden="false" outlineLevel="0" max="3" min="3" style="0" width="18"/>
    <col collapsed="false" customWidth="true" hidden="false" outlineLevel="0" max="4" min="4" style="0" width="14"/>
    <col collapsed="false" customWidth="true" hidden="false" outlineLevel="0" max="5" min="5" style="0" width="16"/>
    <col collapsed="false" customWidth="true" hidden="false" outlineLevel="0" max="6" min="6" style="0" width="20"/>
    <col collapsed="false" customWidth="true" hidden="false" outlineLevel="0" max="7" min="7" style="0" width="14"/>
  </cols>
  <sheetData>
    <row r="1" customFormat="false" ht="25.5" hidden="false" customHeight="true" outlineLevel="0" collapsed="false">
      <c r="A1" s="1" t="s">
        <v>600</v>
      </c>
    </row>
    <row r="2" customFormat="false" ht="15" hidden="false" customHeight="false" outlineLevel="0" collapsed="false">
      <c r="A2" s="2" t="s">
        <v>601</v>
      </c>
    </row>
    <row r="4" customFormat="false" ht="31.5" hidden="false" customHeight="true" outlineLevel="0" collapsed="false">
      <c r="A4" s="5" t="s">
        <v>602</v>
      </c>
      <c r="B4" s="5" t="s">
        <v>603</v>
      </c>
      <c r="C4" s="5" t="s">
        <v>604</v>
      </c>
      <c r="D4" s="5" t="s">
        <v>605</v>
      </c>
      <c r="E4" s="5" t="s">
        <v>606</v>
      </c>
      <c r="F4" s="5" t="s">
        <v>607</v>
      </c>
      <c r="G4" s="5" t="s">
        <v>608</v>
      </c>
    </row>
    <row r="5" customFormat="false" ht="15" hidden="false" customHeight="false" outlineLevel="0" collapsed="false">
      <c r="A5" s="16" t="n">
        <v>46266</v>
      </c>
      <c r="B5" s="8" t="n">
        <v>2026443</v>
      </c>
      <c r="C5" s="7" t="n">
        <f aca="false">SUMIFS(Tiket_الحجوزات!$L$5:$L$131,Tiket_الحجوزات!$E$5:$E$131,A5,Tiket_الحجوزات!$I$5:$I$131,"issued")</f>
        <v>2026445</v>
      </c>
      <c r="D5" s="7" t="n">
        <f aca="false">C5-B5</f>
        <v>2</v>
      </c>
      <c r="E5" s="8" t="n">
        <v>1999725</v>
      </c>
      <c r="F5" s="7" t="n">
        <f aca="false">SUMIFS(Booking_الحجوزات!$L$5:$L$112,Booking_الحجوزات!$E$5:$E$112,A5)</f>
        <v>1999725</v>
      </c>
      <c r="G5" s="7" t="n">
        <f aca="false">F5-E5</f>
        <v>0</v>
      </c>
    </row>
    <row r="6" customFormat="false" ht="15" hidden="false" customHeight="false" outlineLevel="0" collapsed="false">
      <c r="A6" s="16" t="n">
        <v>46267</v>
      </c>
      <c r="B6" s="8" t="n">
        <v>1052646</v>
      </c>
      <c r="C6" s="7" t="n">
        <f aca="false">SUMIFS(Tiket_الحجوزات!$L$5:$L$131,Tiket_الحجوزات!$E$5:$E$131,A6,Tiket_الحجوزات!$I$5:$I$131,"issued")</f>
        <v>1052647.5</v>
      </c>
      <c r="D6" s="7" t="n">
        <f aca="false">C6-B6</f>
        <v>1.5</v>
      </c>
      <c r="E6" s="8" t="n">
        <v>480742</v>
      </c>
      <c r="F6" s="7" t="n">
        <f aca="false">SUMIFS(Booking_الحجوزات!$L$5:$L$112,Booking_الحجوزات!$E$5:$E$112,A6)</f>
        <v>480742</v>
      </c>
      <c r="G6" s="7" t="n">
        <f aca="false">F6-E6</f>
        <v>0</v>
      </c>
    </row>
    <row r="7" customFormat="false" ht="15" hidden="false" customHeight="false" outlineLevel="0" collapsed="false">
      <c r="A7" s="16" t="n">
        <v>46268</v>
      </c>
      <c r="B7" s="8" t="n">
        <v>973797</v>
      </c>
      <c r="C7" s="7" t="n">
        <f aca="false">SUMIFS(Tiket_الحجوزات!$L$5:$L$131,Tiket_الحجوزات!$E$5:$E$131,A7,Tiket_الحجوزات!$I$5:$I$131,"issued")</f>
        <v>973797.5</v>
      </c>
      <c r="D7" s="7" t="n">
        <f aca="false">C7-B7</f>
        <v>0.5</v>
      </c>
      <c r="E7" s="8" t="n">
        <v>799890</v>
      </c>
      <c r="F7" s="7" t="n">
        <f aca="false">SUMIFS(Booking_الحجوزات!$L$5:$L$112,Booking_الحجوزات!$E$5:$E$112,A7)</f>
        <v>799890</v>
      </c>
      <c r="G7" s="7" t="n">
        <f aca="false">F7-E7</f>
        <v>0</v>
      </c>
    </row>
    <row r="8" customFormat="false" ht="15" hidden="false" customHeight="false" outlineLevel="0" collapsed="false">
      <c r="A8" s="16" t="n">
        <v>46269</v>
      </c>
      <c r="B8" s="8" t="n">
        <v>859464</v>
      </c>
      <c r="C8" s="7" t="n">
        <f aca="false">SUMIFS(Tiket_الحجوزات!$L$5:$L$131,Tiket_الحجوزات!$E$5:$E$131,A8,Tiket_الحجوزات!$I$5:$I$131,"issued")</f>
        <v>859465</v>
      </c>
      <c r="D8" s="7" t="n">
        <f aca="false">C8-B8</f>
        <v>1</v>
      </c>
      <c r="E8" s="8" t="n">
        <v>359547</v>
      </c>
      <c r="F8" s="7" t="n">
        <f aca="false">SUMIFS(Booking_الحجوزات!$L$5:$L$112,Booking_الحجوزات!$E$5:$E$112,A8)</f>
        <v>359546</v>
      </c>
      <c r="G8" s="7" t="n">
        <f aca="false">F8-E8</f>
        <v>-1</v>
      </c>
    </row>
    <row r="9" customFormat="false" ht="15" hidden="false" customHeight="false" outlineLevel="0" collapsed="false">
      <c r="A9" s="16" t="n">
        <v>46270</v>
      </c>
      <c r="B9" s="8" t="n">
        <v>4439252</v>
      </c>
      <c r="C9" s="7" t="n">
        <f aca="false">SUMIFS(Tiket_الحجوزات!$L$5:$L$131,Tiket_الحجوزات!$E$5:$E$131,A9,Tiket_الحجوزات!$I$5:$I$131,"issued")</f>
        <v>4439255</v>
      </c>
      <c r="D9" s="7" t="n">
        <f aca="false">C9-B9</f>
        <v>3</v>
      </c>
      <c r="E9" s="8" t="n">
        <v>2722861</v>
      </c>
      <c r="F9" s="7" t="n">
        <f aca="false">SUMIFS(Booking_الحجوزات!$L$5:$L$112,Booking_الحجوزات!$E$5:$E$112,A9)</f>
        <v>2722855</v>
      </c>
      <c r="G9" s="7" t="n">
        <f aca="false">F9-E9</f>
        <v>-6</v>
      </c>
    </row>
    <row r="10" customFormat="false" ht="15" hidden="false" customHeight="false" outlineLevel="0" collapsed="false">
      <c r="A10" s="16" t="n">
        <v>46271</v>
      </c>
      <c r="B10" s="8" t="n">
        <v>2499543</v>
      </c>
      <c r="C10" s="7" t="n">
        <f aca="false">SUMIFS(Tiket_الحجوزات!$L$5:$L$131,Tiket_الحجوزات!$E$5:$E$131,A10,Tiket_الحجوزات!$I$5:$I$131,"issued")</f>
        <v>2889852.5</v>
      </c>
      <c r="D10" s="7" t="n">
        <f aca="false">C10-B10</f>
        <v>390309.5</v>
      </c>
      <c r="E10" s="8" t="n">
        <v>1280632</v>
      </c>
      <c r="F10" s="7" t="n">
        <f aca="false">SUMIFS(Booking_الحجوزات!$L$5:$L$112,Booking_الحجوزات!$E$5:$E$112,A10)</f>
        <v>1280632</v>
      </c>
      <c r="G10" s="7" t="n">
        <f aca="false">F10-E10</f>
        <v>0</v>
      </c>
    </row>
    <row r="11" customFormat="false" ht="15" hidden="false" customHeight="false" outlineLevel="0" collapsed="false">
      <c r="A11" s="16" t="n">
        <v>46272</v>
      </c>
      <c r="B11" s="8" t="n">
        <v>3201307</v>
      </c>
      <c r="C11" s="7" t="n">
        <f aca="false">SUMIFS(Tiket_الحجوزات!$L$5:$L$131,Tiket_الحجوزات!$E$5:$E$131,A11,Tiket_الحجوزات!$I$5:$I$131,"issued")</f>
        <v>3122460</v>
      </c>
      <c r="D11" s="7" t="n">
        <f aca="false">C11-B11</f>
        <v>-78847</v>
      </c>
      <c r="E11" s="8" t="n">
        <v>2161319</v>
      </c>
      <c r="F11" s="7" t="n">
        <f aca="false">SUMIFS(Booking_الحجوزات!$L$5:$L$112,Booking_الحجوزات!$E$5:$E$112,A11)</f>
        <v>2161319</v>
      </c>
      <c r="G11" s="7" t="n">
        <f aca="false">F11-E11</f>
        <v>0</v>
      </c>
    </row>
    <row r="12" customFormat="false" ht="15" hidden="false" customHeight="false" outlineLevel="0" collapsed="false">
      <c r="A12" s="16" t="n">
        <v>46273</v>
      </c>
      <c r="B12" s="8" t="n">
        <v>1092071</v>
      </c>
      <c r="C12" s="7" t="n">
        <f aca="false">SUMIFS(Tiket_الحجوزات!$L$5:$L$131,Tiket_الحجوزات!$E$5:$E$131,A12,Tiket_الحجوزات!$I$5:$I$131,"issued")</f>
        <v>780615</v>
      </c>
      <c r="D12" s="7" t="n">
        <f aca="false">C12-B12</f>
        <v>-311456</v>
      </c>
      <c r="E12" s="8" t="n">
        <v>1119038</v>
      </c>
      <c r="F12" s="7" t="n">
        <f aca="false">SUMIFS(Booking_الحجوزات!$L$5:$L$112,Booking_الحجوزات!$E$5:$E$112,A12)</f>
        <v>1119038</v>
      </c>
      <c r="G12" s="7" t="n">
        <f aca="false">F12-E12</f>
        <v>0</v>
      </c>
    </row>
    <row r="13" customFormat="false" ht="15" hidden="false" customHeight="false" outlineLevel="0" collapsed="false">
      <c r="A13" s="16" t="n">
        <v>46274</v>
      </c>
      <c r="B13" s="8" t="n">
        <v>583490</v>
      </c>
      <c r="C13" s="7" t="n">
        <f aca="false">SUMIFS(Tiket_الحجوزات!$L$5:$L$131,Tiket_الحجوزات!$E$5:$E$131,A13,Tiket_الحجوزات!$I$5:$I$131,"issued")</f>
        <v>583490</v>
      </c>
      <c r="D13" s="7" t="n">
        <f aca="false">C13-B13</f>
        <v>0</v>
      </c>
      <c r="E13" s="8" t="n">
        <v>1119038</v>
      </c>
      <c r="F13" s="7" t="n">
        <f aca="false">SUMIFS(Booking_الحجوزات!$L$5:$L$112,Booking_الحجوزات!$E$5:$E$112,A13)</f>
        <v>1119038</v>
      </c>
      <c r="G13" s="7" t="n">
        <f aca="false">F13-E13</f>
        <v>0</v>
      </c>
    </row>
    <row r="14" customFormat="false" ht="15" hidden="false" customHeight="false" outlineLevel="0" collapsed="false">
      <c r="A14" s="16" t="n">
        <v>46275</v>
      </c>
      <c r="B14" s="8" t="n">
        <v>934372</v>
      </c>
      <c r="C14" s="7" t="n">
        <f aca="false">SUMIFS(Tiket_الحجوزات!$L$5:$L$131,Tiket_الحجوزات!$E$5:$E$131,A14,Tiket_الحجوزات!$I$5:$I$131,"issued")</f>
        <v>934372.5</v>
      </c>
      <c r="D14" s="7" t="n">
        <f aca="false">C14-B14</f>
        <v>0.5</v>
      </c>
      <c r="E14" s="8" t="n">
        <v>319148</v>
      </c>
      <c r="F14" s="7" t="n">
        <f aca="false">SUMIFS(Booking_الحجوزات!$L$5:$L$112,Booking_الحجوزات!$E$5:$E$112,A14)</f>
        <v>319148</v>
      </c>
      <c r="G14" s="7" t="n">
        <f aca="false">F14-E14</f>
        <v>0</v>
      </c>
    </row>
    <row r="15" customFormat="false" ht="15" hidden="false" customHeight="false" outlineLevel="0" collapsed="false">
      <c r="A15" s="16" t="n">
        <v>46276</v>
      </c>
      <c r="B15" s="8" t="n">
        <v>2270878</v>
      </c>
      <c r="C15" s="7" t="n">
        <f aca="false">SUMIFS(Tiket_الحجوزات!$L$5:$L$131,Tiket_الحجوزات!$E$5:$E$131,A15,Tiket_الحجوزات!$I$5:$I$131,"issued")</f>
        <v>2980530</v>
      </c>
      <c r="D15" s="7" t="n">
        <f aca="false">C15-B15</f>
        <v>709652</v>
      </c>
      <c r="E15" s="8" t="n">
        <v>2201720</v>
      </c>
      <c r="F15" s="7" t="n">
        <f aca="false">SUMIFS(Booking_الحجوزات!$L$5:$L$112,Booking_الحجوزات!$E$5:$E$112,A15)</f>
        <v>2201715</v>
      </c>
      <c r="G15" s="7" t="n">
        <f aca="false">F15-E15</f>
        <v>-5</v>
      </c>
    </row>
    <row r="16" customFormat="false" ht="15" hidden="false" customHeight="false" outlineLevel="0" collapsed="false">
      <c r="A16" s="16" t="n">
        <v>46277</v>
      </c>
      <c r="B16" s="8" t="n">
        <v>3729602</v>
      </c>
      <c r="C16" s="7" t="n">
        <f aca="false">SUMIFS(Tiket_الحجوزات!$L$5:$L$131,Tiket_الحجوزات!$E$5:$E$131,A16,Tiket_الحجوزات!$I$5:$I$131,"issued")</f>
        <v>3019955</v>
      </c>
      <c r="D16" s="7" t="n">
        <f aca="false">C16-B16</f>
        <v>-709647</v>
      </c>
      <c r="E16" s="8" t="n">
        <v>2722861</v>
      </c>
      <c r="F16" s="7" t="n">
        <f aca="false">SUMIFS(Booking_الحجوزات!$L$5:$L$112,Booking_الحجوزات!$E$5:$E$112,A16)</f>
        <v>2722855</v>
      </c>
      <c r="G16" s="7" t="n">
        <f aca="false">F16-E16</f>
        <v>-6</v>
      </c>
    </row>
    <row r="17" customFormat="false" ht="15" hidden="false" customHeight="false" outlineLevel="0" collapsed="false">
      <c r="A17" s="16" t="n">
        <v>46278</v>
      </c>
      <c r="B17" s="8" t="n">
        <v>1797779</v>
      </c>
      <c r="C17" s="7" t="n">
        <f aca="false">SUMIFS(Tiket_الحجوزات!$L$5:$L$131,Tiket_الحجوزات!$E$5:$E$131,A17,Tiket_الحجوزات!$I$5:$I$131,"issued")</f>
        <v>1797780</v>
      </c>
      <c r="D17" s="7" t="n">
        <f aca="false">C17-B17</f>
        <v>1</v>
      </c>
      <c r="E17" s="8" t="n">
        <v>1518983</v>
      </c>
      <c r="F17" s="7" t="n">
        <f aca="false">SUMIFS(Booking_الحجوزات!$L$5:$L$112,Booking_الحجوزات!$E$5:$E$112,A17)</f>
        <v>1518983</v>
      </c>
      <c r="G17" s="7" t="n">
        <f aca="false">F17-E17</f>
        <v>0</v>
      </c>
    </row>
    <row r="18" customFormat="false" ht="15" hidden="false" customHeight="false" outlineLevel="0" collapsed="false">
      <c r="A18" s="16" t="n">
        <v>46279</v>
      </c>
      <c r="B18" s="8" t="n">
        <v>1407472</v>
      </c>
      <c r="C18" s="7" t="n">
        <f aca="false">SUMIFS(Tiket_الحجوزات!$L$5:$L$131,Tiket_الحجوزات!$E$5:$E$131,A18,Tiket_الحجوزات!$I$5:$I$131,"issued")</f>
        <v>1407472.5</v>
      </c>
      <c r="D18" s="7" t="n">
        <f aca="false">C18-B18</f>
        <v>0.5</v>
      </c>
      <c r="E18" s="8" t="n">
        <v>880687</v>
      </c>
      <c r="F18" s="7" t="n">
        <f aca="false">SUMIFS(Booking_الحجوزات!$L$5:$L$112,Booking_الحجوزات!$E$5:$E$112,A18)</f>
        <v>880687</v>
      </c>
      <c r="G18" s="7" t="n">
        <f aca="false">F18-E18</f>
        <v>0</v>
      </c>
    </row>
    <row r="19" customFormat="false" ht="15" hidden="false" customHeight="false" outlineLevel="0" collapsed="false">
      <c r="A19" s="16" t="n">
        <v>46280</v>
      </c>
      <c r="B19" s="8" t="n">
        <v>823982</v>
      </c>
      <c r="C19" s="7" t="n">
        <f aca="false">SUMIFS(Tiket_الحجوزات!$L$5:$L$131,Tiket_الحجوزات!$E$5:$E$131,A19,Tiket_الحجوزات!$I$5:$I$131,"issued")</f>
        <v>823982.5</v>
      </c>
      <c r="D19" s="7" t="n">
        <f aca="false">C19-B19</f>
        <v>0.5</v>
      </c>
      <c r="E19" s="8" t="n">
        <v>799890</v>
      </c>
      <c r="F19" s="7" t="n">
        <f aca="false">SUMIFS(Booking_الحجوزات!$L$5:$L$112,Booking_الحجوزات!$E$5:$E$112,A19)</f>
        <v>799890</v>
      </c>
      <c r="G19" s="7" t="n">
        <f aca="false">F19-E19</f>
        <v>0</v>
      </c>
    </row>
    <row r="20" customFormat="false" ht="15" hidden="false" customHeight="false" outlineLevel="0" collapsed="false">
      <c r="A20" s="16" t="n">
        <v>46281</v>
      </c>
      <c r="B20" s="8" t="n">
        <v>390307</v>
      </c>
      <c r="C20" s="7" t="n">
        <f aca="false">SUMIFS(Tiket_الحجوزات!$L$5:$L$131,Tiket_الحجوزات!$E$5:$E$131,A20,Tiket_الحجوزات!$I$5:$I$131,"issued")</f>
        <v>390307.5</v>
      </c>
      <c r="D20" s="7" t="n">
        <f aca="false">C20-B20</f>
        <v>0.5</v>
      </c>
      <c r="E20" s="8" t="n">
        <v>399945</v>
      </c>
      <c r="F20" s="7" t="n">
        <f aca="false">SUMIFS(Booking_الحجوزات!$L$5:$L$112,Booking_الحجوزات!$E$5:$E$112,A20)</f>
        <v>4120647</v>
      </c>
      <c r="G20" s="7" t="n">
        <f aca="false">F20-E20</f>
        <v>3720702</v>
      </c>
    </row>
    <row r="21" customFormat="false" ht="15" hidden="false" customHeight="false" outlineLevel="0" collapsed="false">
      <c r="A21" s="16" t="n">
        <v>46282</v>
      </c>
      <c r="B21" s="8" t="n">
        <v>583490</v>
      </c>
      <c r="C21" s="7" t="n">
        <f aca="false">SUMIFS(Tiket_الحجوزات!$L$5:$L$131,Tiket_الحجوزات!$E$5:$E$131,A21,Tiket_الحجوزات!$I$5:$I$131,"issued")</f>
        <v>583490</v>
      </c>
      <c r="D21" s="7" t="n">
        <f aca="false">C21-B21</f>
        <v>0</v>
      </c>
      <c r="E21" s="8" t="n">
        <v>799890</v>
      </c>
      <c r="F21" s="7" t="n">
        <f aca="false">SUMIFS(Booking_الحجوزات!$L$5:$L$112,Booking_الحجوزات!$E$5:$E$112,A21)</f>
        <v>399945</v>
      </c>
      <c r="G21" s="7" t="n">
        <f aca="false">F21-E21</f>
        <v>-399945</v>
      </c>
    </row>
    <row r="22" customFormat="false" ht="15" hidden="false" customHeight="false" outlineLevel="0" collapsed="false">
      <c r="A22" s="16" t="n">
        <v>46283</v>
      </c>
      <c r="B22" s="8" t="n">
        <v>859464</v>
      </c>
      <c r="C22" s="7" t="n">
        <f aca="false">SUMIFS(Tiket_الحجوزات!$L$5:$L$131,Tiket_الحجوزات!$E$5:$E$131,A22,Tiket_الحجوزات!$I$5:$I$131,"issued")</f>
        <v>1289197.5</v>
      </c>
      <c r="D22" s="7" t="n">
        <f aca="false">C22-B22</f>
        <v>429733.5</v>
      </c>
      <c r="E22" s="8" t="n">
        <v>880688</v>
      </c>
      <c r="F22" s="7" t="n">
        <f aca="false">SUMIFS(Booking_الحجوزات!$L$5:$L$112,Booking_الحجوزات!$E$5:$E$112,A22)</f>
        <v>440343</v>
      </c>
      <c r="G22" s="7" t="n">
        <f aca="false">F22-E22</f>
        <v>-440345</v>
      </c>
    </row>
    <row r="23" customFormat="false" ht="15" hidden="false" customHeight="false" outlineLevel="0" collapsed="false">
      <c r="A23" s="16" t="n">
        <v>46284</v>
      </c>
      <c r="B23" s="8" t="n">
        <v>859464</v>
      </c>
      <c r="C23" s="7" t="n">
        <f aca="false">SUMIFS(Tiket_الحجوزات!$L$5:$L$131,Tiket_الحجوزات!$E$5:$E$131,A23,Tiket_الحجوزات!$I$5:$I$131,"issued")</f>
        <v>429732.5</v>
      </c>
      <c r="D23" s="7" t="n">
        <f aca="false">C23-B23</f>
        <v>-429731.5</v>
      </c>
      <c r="E23" s="8" t="n">
        <v>3522752</v>
      </c>
      <c r="F23" s="7" t="n">
        <f aca="false">SUMIFS(Booking_الحجوزات!$L$5:$L$112,Booking_الحجوزات!$E$5:$E$112,A23)</f>
        <v>3082401</v>
      </c>
      <c r="G23" s="7" t="n">
        <f aca="false">F23-E23</f>
        <v>-440351</v>
      </c>
    </row>
    <row r="24" customFormat="false" ht="15" hidden="false" customHeight="false" outlineLevel="0" collapsed="false">
      <c r="A24" s="16" t="n">
        <v>46285</v>
      </c>
      <c r="B24" s="8" t="n">
        <v>583490</v>
      </c>
      <c r="C24" s="7" t="n">
        <f aca="false">SUMIFS(Tiket_الحجوزات!$L$5:$L$131,Tiket_الحجوزات!$E$5:$E$131,A24,Tiket_الحجوزات!$I$5:$I$131,"issued")</f>
        <v>1166980</v>
      </c>
      <c r="D24" s="7" t="n">
        <f aca="false">C24-B24</f>
        <v>583490</v>
      </c>
      <c r="E24" s="8" t="n">
        <v>1199835</v>
      </c>
      <c r="F24" s="7" t="n">
        <f aca="false">SUMIFS(Booking_الحجوزات!$L$5:$L$112,Booking_الحجوزات!$E$5:$E$112,A24)</f>
        <v>799890</v>
      </c>
      <c r="G24" s="7" t="n">
        <f aca="false">F24-E24</f>
        <v>-399945</v>
      </c>
    </row>
    <row r="25" customFormat="false" ht="15" hidden="false" customHeight="false" outlineLevel="0" collapsed="false">
      <c r="A25" s="16" t="n">
        <v>46286</v>
      </c>
      <c r="B25" s="8" t="n">
        <v>583490</v>
      </c>
      <c r="C25" s="7" t="n">
        <f aca="false">SUMIFS(Tiket_الحجوزات!$L$5:$L$131,Tiket_الحجوزات!$E$5:$E$131,A25,Tiket_الحجوزات!$I$5:$I$131,"issued")</f>
        <v>0</v>
      </c>
      <c r="D25" s="7" t="n">
        <f aca="false">C25-B25</f>
        <v>-583490</v>
      </c>
      <c r="E25" s="8" t="n">
        <v>799890</v>
      </c>
      <c r="F25" s="7" t="n">
        <f aca="false">SUMIFS(Booking_الحجوزات!$L$5:$L$112,Booking_الحجوزات!$E$5:$E$112,A25)</f>
        <v>399945</v>
      </c>
      <c r="G25" s="7" t="n">
        <f aca="false">F25-E25</f>
        <v>-399945</v>
      </c>
    </row>
    <row r="26" customFormat="false" ht="15" hidden="false" customHeight="false" outlineLevel="0" collapsed="false">
      <c r="A26" s="16" t="n">
        <v>46287</v>
      </c>
      <c r="B26" s="8" t="n">
        <v>390307</v>
      </c>
      <c r="C26" s="7" t="n">
        <f aca="false">SUMIFS(Tiket_الحجوزات!$L$5:$L$131,Tiket_الحجوزات!$E$5:$E$131,A26,Tiket_الحجوزات!$I$5:$I$131,"issued")</f>
        <v>390307.5</v>
      </c>
      <c r="D26" s="7" t="n">
        <f aca="false">C26-B26</f>
        <v>0.5</v>
      </c>
      <c r="E26" s="8" t="n">
        <v>1119038</v>
      </c>
      <c r="F26" s="7" t="n">
        <f aca="false">SUMIFS(Booking_الحجوزات!$L$5:$L$112,Booking_الحجوزات!$E$5:$E$112,A26)</f>
        <v>719093</v>
      </c>
      <c r="G26" s="7" t="n">
        <f aca="false">F26-E26</f>
        <v>-399945</v>
      </c>
    </row>
    <row r="27" customFormat="false" ht="15" hidden="false" customHeight="false" outlineLevel="0" collapsed="false">
      <c r="A27" s="16" t="n">
        <v>46288</v>
      </c>
      <c r="B27" s="8" t="n">
        <v>433675</v>
      </c>
      <c r="C27" s="7" t="n">
        <f aca="false">SUMIFS(Tiket_الحجوزات!$L$5:$L$131,Tiket_الحجوزات!$E$5:$E$131,A27,Tiket_الحجوزات!$I$5:$I$131,"issued")</f>
        <v>433675</v>
      </c>
      <c r="D27" s="7" t="n">
        <f aca="false">C27-B27</f>
        <v>0</v>
      </c>
      <c r="E27" s="8" t="n">
        <v>1119038</v>
      </c>
      <c r="F27" s="7" t="n">
        <f aca="false">SUMIFS(Booking_الحجوزات!$L$5:$L$112,Booking_الحجوزات!$E$5:$E$112,A27)</f>
        <v>719093</v>
      </c>
      <c r="G27" s="7" t="n">
        <f aca="false">F27-E27</f>
        <v>-399945</v>
      </c>
    </row>
    <row r="28" customFormat="false" ht="15" hidden="false" customHeight="false" outlineLevel="0" collapsed="false">
      <c r="A28" s="16" t="n">
        <v>46289</v>
      </c>
      <c r="B28" s="8" t="n">
        <v>0</v>
      </c>
      <c r="C28" s="7" t="n">
        <f aca="false">SUMIFS(Tiket_الحجوزات!$L$5:$L$131,Tiket_الحجوزات!$E$5:$E$131,A28,Tiket_الحجوزات!$I$5:$I$131,"issued")</f>
        <v>0</v>
      </c>
      <c r="D28" s="7" t="n">
        <f aca="false">C28-B28</f>
        <v>0</v>
      </c>
      <c r="E28" s="8" t="n">
        <v>799890</v>
      </c>
      <c r="F28" s="7" t="n">
        <f aca="false">SUMIFS(Booking_الحجوزات!$L$5:$L$112,Booking_الحجوزات!$E$5:$E$112,A28)</f>
        <v>399945</v>
      </c>
      <c r="G28" s="7" t="n">
        <f aca="false">F28-E28</f>
        <v>-399945</v>
      </c>
    </row>
    <row r="29" customFormat="false" ht="15" hidden="false" customHeight="false" outlineLevel="0" collapsed="false">
      <c r="A29" s="16" t="n">
        <v>46290</v>
      </c>
      <c r="B29" s="8" t="n">
        <v>1919996</v>
      </c>
      <c r="C29" s="7" t="n">
        <f aca="false">SUMIFS(Tiket_الحجوزات!$L$5:$L$131,Tiket_الحجوزات!$E$5:$E$131,A29,Tiket_الحجوزات!$I$5:$I$131,"issued")</f>
        <v>1919997.5</v>
      </c>
      <c r="D29" s="7" t="n">
        <f aca="false">C29-B29</f>
        <v>1.5</v>
      </c>
      <c r="E29" s="8" t="n">
        <v>1680579</v>
      </c>
      <c r="F29" s="7" t="n">
        <f aca="false">SUMIFS(Booking_الحجوزات!$L$5:$L$112,Booking_الحجوزات!$E$5:$E$112,A29)</f>
        <v>1240232</v>
      </c>
      <c r="G29" s="7" t="n">
        <f aca="false">F29-E29</f>
        <v>-440347</v>
      </c>
    </row>
    <row r="30" customFormat="false" ht="15" hidden="false" customHeight="false" outlineLevel="0" collapsed="false">
      <c r="A30" s="16" t="n">
        <v>46291</v>
      </c>
      <c r="B30" s="8" t="n">
        <v>5038512</v>
      </c>
      <c r="C30" s="7" t="n">
        <f aca="false">SUMIFS(Tiket_الحجوزات!$L$5:$L$131,Tiket_الحجوزات!$E$5:$E$131,A30,Tiket_الحجوزات!$I$5:$I$131,"issued")</f>
        <v>5038515</v>
      </c>
      <c r="D30" s="7" t="n">
        <f aca="false">C30-B30</f>
        <v>3</v>
      </c>
      <c r="E30" s="8" t="n">
        <v>3684346</v>
      </c>
      <c r="F30" s="7" t="n">
        <f aca="false">SUMIFS(Booking_الحجوزات!$L$5:$L$112,Booking_الحجوزات!$E$5:$E$112,A30)</f>
        <v>3684338</v>
      </c>
      <c r="G30" s="7" t="n">
        <f aca="false">F30-E30</f>
        <v>-8</v>
      </c>
    </row>
    <row r="31" customFormat="false" ht="15" hidden="false" customHeight="false" outlineLevel="0" collapsed="false">
      <c r="A31" s="16" t="n">
        <v>46292</v>
      </c>
      <c r="B31" s="8" t="n">
        <v>1407472</v>
      </c>
      <c r="C31" s="7" t="n">
        <f aca="false">SUMIFS(Tiket_الحجوزات!$L$5:$L$131,Tiket_الحجوزات!$E$5:$E$131,A31,Tiket_الحجوزات!$I$5:$I$131,"issued")</f>
        <v>1407472.5</v>
      </c>
      <c r="D31" s="7" t="n">
        <f aca="false">C31-B31</f>
        <v>0.5</v>
      </c>
      <c r="E31" s="8" t="n">
        <v>1199835</v>
      </c>
      <c r="F31" s="7" t="n">
        <f aca="false">SUMIFS(Booking_الحجوزات!$L$5:$L$112,Booking_الحجوزات!$E$5:$E$112,A31)</f>
        <v>1199835</v>
      </c>
      <c r="G31" s="7" t="n">
        <f aca="false">F31-E31</f>
        <v>0</v>
      </c>
    </row>
    <row r="32" customFormat="false" ht="15" hidden="false" customHeight="false" outlineLevel="0" collapsed="false">
      <c r="A32" s="16" t="n">
        <v>46293</v>
      </c>
      <c r="B32" s="8" t="n">
        <v>2499543</v>
      </c>
      <c r="C32" s="7" t="n">
        <f aca="false">SUMIFS(Tiket_الحجوزات!$L$5:$L$131,Tiket_الحجوزات!$E$5:$E$131,A32,Tiket_الحجوزات!$I$5:$I$131,"issued")</f>
        <v>2499545</v>
      </c>
      <c r="D32" s="7" t="n">
        <f aca="false">C32-B32</f>
        <v>2</v>
      </c>
      <c r="E32" s="8" t="n">
        <v>1199835</v>
      </c>
      <c r="F32" s="7" t="n">
        <f aca="false">SUMIFS(Booking_الحجوزات!$L$5:$L$112,Booking_الحجوزات!$E$5:$E$112,A32)</f>
        <v>1199835</v>
      </c>
      <c r="G32" s="7" t="n">
        <f aca="false">F32-E32</f>
        <v>0</v>
      </c>
    </row>
    <row r="33" customFormat="false" ht="15" hidden="false" customHeight="false" outlineLevel="0" collapsed="false">
      <c r="A33" s="16" t="n">
        <v>46294</v>
      </c>
      <c r="B33" s="8" t="n">
        <v>433675</v>
      </c>
      <c r="C33" s="7" t="n">
        <f aca="false">SUMIFS(Tiket_الحجوزات!$L$5:$L$131,Tiket_الحجوزات!$E$5:$E$131,A33,Tiket_الحجوزات!$I$5:$I$131,"issued")</f>
        <v>433675</v>
      </c>
      <c r="D33" s="7" t="n">
        <f aca="false">C33-B33</f>
        <v>0</v>
      </c>
      <c r="E33" s="8" t="n">
        <v>399945</v>
      </c>
      <c r="F33" s="7" t="n">
        <f aca="false">SUMIFS(Booking_الحجوزات!$L$5:$L$112,Booking_الحجوزات!$E$5:$E$112,A33)</f>
        <v>399945</v>
      </c>
      <c r="G33" s="7" t="n">
        <f aca="false">F33-E33</f>
        <v>0</v>
      </c>
    </row>
    <row r="34" customFormat="false" ht="15" hidden="false" customHeight="false" outlineLevel="0" collapsed="false">
      <c r="A34" s="16" t="n">
        <v>46295</v>
      </c>
      <c r="B34" s="8" t="n">
        <v>2381269</v>
      </c>
      <c r="C34" s="7" t="n">
        <f aca="false">SUMIFS(Tiket_الحجوزات!$L$5:$L$131,Tiket_الحجوزات!$E$5:$E$131,A34,Tiket_الحجوزات!$I$5:$I$131,"issued")</f>
        <v>2381270</v>
      </c>
      <c r="D34" s="7" t="n">
        <f aca="false">C34-B34</f>
        <v>1</v>
      </c>
      <c r="E34" s="8" t="n">
        <v>719093</v>
      </c>
      <c r="F34" s="7" t="n">
        <f aca="false">SUMIFS(Booking_الحجوزات!$L$5:$L$112,Booking_الحجوزات!$E$5:$E$112,A34)</f>
        <v>319148</v>
      </c>
      <c r="G34" s="7" t="n">
        <f aca="false">F34-E34</f>
        <v>-399945</v>
      </c>
    </row>
    <row r="35" customFormat="false" ht="15" hidden="false" customHeight="false" outlineLevel="0" collapsed="false">
      <c r="A35" s="21" t="s">
        <v>7</v>
      </c>
      <c r="B35" s="11" t="n">
        <f aca="false">SUM(B5:B34)</f>
        <v>46056252</v>
      </c>
      <c r="C35" s="11" t="n">
        <f aca="false">SUM(C5:C34)</f>
        <v>46056285</v>
      </c>
      <c r="D35" s="11" t="n">
        <f aca="false">SUM(D5:D34)</f>
        <v>33</v>
      </c>
      <c r="E35" s="11" t="n">
        <f aca="false">SUM(E5:E34)</f>
        <v>40010680</v>
      </c>
      <c r="F35" s="11" t="n">
        <f aca="false">SUM(F5:F34)</f>
        <v>39610698</v>
      </c>
      <c r="G35" s="11" t="n">
        <f aca="false">SUM(G5:G34)</f>
        <v>-399982</v>
      </c>
    </row>
    <row r="37" customFormat="false" ht="15" hidden="false" customHeight="false" outlineLevel="0" collapsed="false">
      <c r="A37" s="2" t="s">
        <v>609</v>
      </c>
    </row>
  </sheetData>
  <conditionalFormatting sqref="D5:D34">
    <cfRule type="expression" priority="2" aboveAverage="0" equalAverage="0" bottom="0" percent="0" rank="0" text="" dxfId="8">
      <formula>ABS(D5)&gt;5</formula>
    </cfRule>
  </conditionalFormatting>
  <conditionalFormatting sqref="G5:G34">
    <cfRule type="expression" priority="3" aboveAverage="0" equalAverage="0" bottom="0" percent="0" rank="0" text="" dxfId="8">
      <formula>ABS(G5)&gt;10</formula>
    </cfRule>
  </conditionalFormatting>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2026-10-27T02:46:59Z</dcterms:created>
  <dc:creator>openpyxl</dc:creator>
  <dc:description/>
  <dc:language>en-US</dc:language>
  <cp:lastModifiedBy/>
  <dcterms:modified xsi:type="dcterms:W3CDTF">2026-10-27T02:46:59Z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